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e0472cafa364ccd" /></Relationships>
</file>

<file path=xl/workbook.xml><?xml version="1.0" encoding="utf-8"?>
<x:workbook xmlns:x="http://schemas.openxmlformats.org/spreadsheetml/2006/main">
  <x:sheets>
    <x:sheet xmlns:r="http://schemas.openxmlformats.org/officeDocument/2006/relationships" name="How to Use" sheetId="1" r:id="Rb61723e16b924162"/>
    <x:sheet xmlns:r="http://schemas.openxmlformats.org/officeDocument/2006/relationships" name="Roles &amp; RACI" sheetId="2" r:id="Re90da03587374ff1"/>
    <x:sheet xmlns:r="http://schemas.openxmlformats.org/officeDocument/2006/relationships" name="Playbooks &amp; Runbooks" sheetId="3" r:id="R8259f8a8f43e4a89"/>
    <x:sheet xmlns:r="http://schemas.openxmlformats.org/officeDocument/2006/relationships" name="Control Library - ISO 42001" sheetId="4" r:id="Rb21f15cf380a4c62"/>
    <x:sheet xmlns:r="http://schemas.openxmlformats.org/officeDocument/2006/relationships" name="Control Library - NIST AI RMF" sheetId="5" r:id="Rdb5619f4f0524140"/>
    <x:sheet xmlns:r="http://schemas.openxmlformats.org/officeDocument/2006/relationships" name="Control Library - MAS" sheetId="6" r:id="R31cfc4934efa4771"/>
    <x:sheet xmlns:r="http://schemas.openxmlformats.org/officeDocument/2006/relationships" name="Stress-Test Tracker" sheetId="7" r:id="R20960505585f474a"/>
    <x:sheet xmlns:r="http://schemas.openxmlformats.org/officeDocument/2006/relationships" name="Maturity Dashboard" sheetId="8" r:id="R65d8346108e247e9"/>
    <x:sheet xmlns:r="http://schemas.openxmlformats.org/officeDocument/2006/relationships" name="Control Library - MGF Agentic" sheetId="9" r:id="Raae12422d2af4083"/>
    <x:sheet xmlns:r="http://schemas.openxmlformats.org/officeDocument/2006/relationships" name="Control Library - SAFR" sheetId="10" r:id="R8af04ac8809b47c1"/>
    <x:sheet xmlns:r="http://schemas.openxmlformats.org/officeDocument/2006/relationships" name="CSA Priority-Action Crosswalk" sheetId="11" r:id="Rde11513ecfb64b42"/>
    <x:sheet xmlns:r="http://schemas.openxmlformats.org/officeDocument/2006/relationships" name="Challenge Protocol" sheetId="12" r:id="R85fd69f064104e7d"/>
    <x:sheet xmlns:r="http://schemas.openxmlformats.org/officeDocument/2006/relationships" name="Test Archetypes" sheetId="13" r:id="R55b7882a531b4784"/>
    <x:sheet xmlns:r="http://schemas.openxmlformats.org/officeDocument/2006/relationships" name="v0.4.1 Changelog" sheetId="14" r:id="Reca6cc564b484273"/>
    <x:sheet xmlns:r="http://schemas.openxmlformats.org/officeDocument/2006/relationships" name="Contract Export Manifest" sheetId="15" r:id="R171dc6905970429b"/>
  </x:sheets>
</x:workbook>
</file>

<file path=xl/sharedStrings.xml><?xml version="1.0" encoding="utf-8"?>
<x:sst xmlns:x="http://schemas.openxmlformats.org/spreadsheetml/2006/main">
  <x:si>
    <x:t xml:space="preserve">AI Governance Playbook &amp; Runbook</x:t>
  </x:si>
  <x:si>
    <x:t xml:space="preserve">An operating manual for managing AI risk across the lifecycle — built for a MAS-regulated financial institution.</x:t>
  </x:si>
  <x:si>
    <x:t xml:space="preserve">What this is</x:t>
  </x:si>
  <x:si>
    <x:t xml:space="preserve">Purpose</x:t>
  </x:si>
  <x:si>
    <x:t xml:space="preserve">Turns the ISO 42001 / NIST AI RMF / MAS control sets into something a team runs day-to-day: defined roles, lifecycle plays with step-by-step runbooks, living control trackers, a stress-test tracker, and a maturity dashboard.</x:t>
  </x:si>
  <x:si>
    <x:t xml:space="preserve">The tabs, and how they connect</x:t>
  </x:si>
  <x:si>
    <x:t xml:space="preserve">Roles &amp; RACI</x:t>
  </x:si>
  <x:si>
    <x:t xml:space="preserve">Defines who does what, on a three-lines-of-defence model. Every play and control references these roles. Start here — ownership is the spine of the playbook.</x:t>
  </x:si>
  <x:si>
    <x:t xml:space="preserve">Playbooks &amp; Runbooks</x:t>
  </x:si>
  <x:si>
    <x:t xml:space="preserve">10 lifecycle plays (intake -&gt; impact assessment -&gt; validation -&gt; deployment -&gt; monitoring -&gt; incident -&gt; third-party -&gt; review -&gt; decommission -&gt; stress-test). Each play has a trigger, owner, ordered steps, evidence, and the controls it satisfies.</x:t>
  </x:si>
  <x:si>
    <x:t xml:space="preserve">Control Library (ISO / NIST / MAS)</x:t>
  </x:si>
  <x:si>
    <x:t xml:space="preserve">The full control catalogues, now as trackers: assign an owner, set status &amp; maturity, record evidence and review dates. These are the 'what'; the plays are the 'how'.</x:t>
  </x:si>
  <x:si>
    <x:t xml:space="preserve">Stress-Test Tracker</x:t>
  </x:si>
  <x:si>
    <x:t xml:space="preserve">The hotspot register (10 core + SAFR runtime) as a live test register: owner, cadence, last run, result, residual risk, next run.</x:t>
  </x:si>
  <x:si>
    <x:t xml:space="preserve">Maturity Dashboard</x:t>
  </x:si>
  <x:si>
    <x:t xml:space="preserve">Rolls up status and maturity across the control library so you can see readiness at a glance and report it upward.</x:t>
  </x:si>
  <x:si>
    <x:t xml:space="preserve">Suggested operating cadence</x:t>
  </x:si>
  <x:si>
    <x:t xml:space="preserve">On every new AI use-case</x:t>
  </x:si>
  <x:si>
    <x:t xml:space="preserve">Run Play 1 (Intake &amp; Triage). Materiality decides how much of Plays 2-4 apply.</x:t>
  </x:si>
  <x:si>
    <x:t xml:space="preserve">Continuously / monthly</x:t>
  </x:si>
  <x:si>
    <x:t xml:space="preserve">Play 5 (Monitoring); review Stress-Test Tracker items due.</x:t>
  </x:si>
  <x:si>
    <x:t xml:space="preserve">On event</x:t>
  </x:si>
  <x:si>
    <x:t xml:space="preserve">Play 6 (Incident), Play 7 (Third-party onboarding / vendor change), Play 9 (Decommission).</x:t>
  </x:si>
  <x:si>
    <x:t xml:space="preserve">Quarterly</x:t>
  </x:si>
  <x:si>
    <x:t xml:space="preserve">Play 10 (Stress-test cycle); refresh Maturity Dashboard; AI Risk Committee review.</x:t>
  </x:si>
  <x:si>
    <x:t xml:space="preserve">Annually / on material change</x:t>
  </x:si>
  <x:si>
    <x:t xml:space="preserve">Play 8 (Periodic review &amp; re-validation); refresh AI policy (ISO A.2.4).</x:t>
  </x:si>
  <x:si>
    <x:t xml:space="preserve">How to use the trackers</x:t>
  </x:si>
  <x:si>
    <x:t xml:space="preserve">Dropdowns</x:t>
  </x:si>
  <x:si>
    <x:t xml:space="preserve">Status, Maturity (1-5), test Result and Residual risk are dropdown cells — pick from the list. The dashboard reads these automatically.</x:t>
  </x:si>
  <x:si>
    <x:t xml:space="preserve">Owners</x:t>
  </x:si>
  <x:si>
    <x:t xml:space="preserve">Default owner roles are pre-filled as a starting point; reassign to named individuals/teams for your org.</x:t>
  </x:si>
  <x:si>
    <x:t xml:space="preserve">Caveat</x:t>
  </x:si>
  <x:si>
    <x:t xml:space="preserve">Control text is a working summary, not verbatim standard wording. MAS AIRG is a proposed guideline (Consultation Paper P017-2025, Nov 2025); public consultation closed 31 Jan 2026, with a 12-month transition period running from the eventual issuance date — it is not yet in force. Calibrate cadence and gates to your own risk appetite and MAS supervisory expectations.</x:t>
  </x:si>
  <x:si>
    <x:t xml:space="preserve">Update — IMDA MGF for Agentic AI</x:t>
  </x:si>
  <x:si>
    <x:t xml:space="preserve">Control Library - MGF Agentic</x:t>
  </x:si>
  <x:si>
    <x:t xml:space="preserve">34 agentic-AI controls (4 MGF dimensions) as a tracker, with Weight &amp; Weighted-maturity columns and links to the plays. Feeds the dashboard alongside ISO/NIST/MAS.</x:t>
  </x:si>
  <x:si>
    <x:t xml:space="preserve">Play 11 — Agentic Operation &amp; Human Oversight</x:t>
  </x:si>
  <x:si>
    <x:t xml:space="preserve">New play housing the agent-specific runtime practices (end-user disclosure &amp; training, automation-bias monitoring, red-team review) that don't fit the model-lifecycle plays.</x:t>
  </x:si>
  <x:si>
    <x:t xml:space="preserve">Update — FEAT operationalised</x:t>
  </x:si>
  <x:si>
    <x:t xml:space="preserve">FEAT (F1-F4) is now wired into the operating cadence: assessed in Play 2, gated in Plays 3/4, re-assessed in Plays 5/8, per the FEAT Assessment Methodology (Veritas-aligned) which defines the fairness/ethics/transparency assessments and high-materiality model validation.</x:t>
  </x:si>
  <x:si>
    <x:t xml:space="preserve">Update — MAS SAFR (Runtime safeguards)</x:t>
  </x:si>
  <x:si>
    <x:t xml:space="preserve">Control Library - SAFR</x:t>
  </x:si>
  <x:si>
    <x:t xml:space="preserve">21 runtime safeguards across the 4 SAFR principles as a tracker — feeds the dashboard alongside ISO/NIST/MAS/MGF. The runtime companion to the MGF agentic controls (mapped to MAS AIRG, ISO 42001 and NIST AI RMF).</x:t>
  </x:si>
  <x:si>
    <x:t xml:space="preserve">Operationalised at the point of action</x:t>
  </x:si>
  <x:si>
    <x:t xml:space="preserve">Most SAFR controls link to Play 11 (Agentic Operation &amp; Human Oversight), with mandate/design in Play 3, monitoring in Play 5 and third-party agents in Play 7.</x:t>
  </x:si>
  <x:si>
    <x:t xml:space="preserve">Prepared by</x:t>
  </x:si>
  <x:si>
    <x:t xml:space="preserve">Wu Yen Ching / wuyenching087@gmail.com</x:t>
  </x:si>
  <x:si>
    <x:t xml:space="preserve">Date</x:t>
  </x:si>
  <x:si>
    <x:t xml:space="preserve">June 2026</x:t>
  </x:si>
  <x:si>
    <x:t xml:space="preserve">Classification</x:t>
  </x:si>
  <x:si>
    <x:t xml:space="preserve">Proprietary &amp; Confidential</x:t>
  </x:si>
  <x:si>
    <x:t xml:space="preserve">Testing methodology</x:t>
  </x:si>
  <x:si>
    <x:t xml:space="preserve">All control-library tabs</x:t>
  </x:si>
  <x:si>
    <x:t xml:space="preserve">Test of Design (ToD) verifies the control is formally defined, approved, scoped, owned and testable.</x:t>
  </x:si>
  <x:si>
    <x:t xml:space="preserve">Test of Operating Effectiveness (ToE) verifies sampled evidence demonstrates the control operated as designed; missing source evidence is NOT TESTABLE, not an automatic FAIL.</x:t>
  </x:si>
  <x:si>
    <x:t xml:space="preserve">Governance rule</x:t>
  </x:si>
  <x:si>
    <x:t xml:space="preserve">Testing procedures remain subject to control-owner / assurance-authority approval before authoritative use.</x:t>
  </x:si>
  <x:si>
    <x:t xml:space="preserve">Regulatory change</x:t>
  </x:si>
  <x:si>
    <x:t xml:space="preserve">Regulatory updates should be drafted and shadow-tested as a new version; do not overwrite the live control/test definition in place.</x:t>
  </x:si>
  <x:si>
    <x:t xml:space="preserve">Update — v0.4.1 challenge scaffolding</x:t>
  </x:si>
  <x:si>
    <x:t xml:space="preserve">Challenge Protocol</x:t>
  </x:si>
  <x:si>
    <x:t xml:space="preserve">What an AI challenger is allowed to output, the hard rules, the deterministic checks that run after it, and a worked example. Read this before pointing any model at the libraries.</x:t>
  </x:si>
  <x:si>
    <x:t xml:space="preserve">New columns on every library tab</x:t>
  </x:si>
  <x:si>
    <x:t xml:space="preserve">Requirement elements (the unit a challenge attaches to), Population &amp; evidence floor, Near-miss failure modes, Resolution, Sufficiency boundary, Test provenance, plus ToD and ToE conclusion dropdowns.</x:t>
  </x:si>
  <x:si>
    <x:t xml:space="preserve">Test Archetypes</x:t>
  </x:si>
  <x:si>
    <x:t xml:space="preserve">The method behind every non-bespoke procedure, so a templated test can be audited as a template.</x:t>
  </x:si>
  <x:si>
    <x:t xml:space="preserve">Status of the new content</x:t>
  </x:si>
  <x:si>
    <x:t xml:space="preserve">Archetype-derived material is DRAFT and requires control-owner approval. The Test provenance column on each row says which rows are bespoke and which are drafts.</x:t>
  </x:si>
  <x:si>
    <x:t xml:space="preserve">Roles &amp; Responsibilities (Three Lines of Defence)</x:t>
  </x:si>
  <x:si>
    <x:t xml:space="preserve">Line</x:t>
  </x:si>
  <x:si>
    <x:t xml:space="preserve">Role</x:t>
  </x:si>
  <x:si>
    <x:t xml:space="preserve">Core responsibilities in AI governance</x:t>
  </x:si>
  <x:si>
    <x:t xml:space="preserve">RACI emphasis</x:t>
  </x:si>
  <x:si>
    <x:t xml:space="preserve">Board / Board Risk Cttee</x:t>
  </x:si>
  <x:si>
    <x:t xml:space="preserve">Board</x:t>
  </x:si>
  <x:si>
    <x:t xml:space="preserve">Ultimate accountability for AI risk; approves AI risk appetite &amp; policy; oversees that management runs an effective AI risk framework.</x:t>
  </x:si>
  <x:si>
    <x:t xml:space="preserve">Accountable (appetite, policy)</x:t>
  </x:si>
  <x:si>
    <x:t xml:space="preserve">Senior Mgmt</x:t>
  </x:si>
  <x:si>
    <x:t xml:space="preserve">AI Risk / Model Governance Committee</x:t>
  </x:si>
  <x:si>
    <x:t xml:space="preserve">Owns the AI risk management framework; approves high-materiality use-cases and risk acceptances; reviews monitoring &amp; incident reporting.</x:t>
  </x:si>
  <x:si>
    <x:t xml:space="preserve">Accountable (high-materiality go/no-go)</x:t>
  </x:si>
  <x:si>
    <x:t xml:space="preserve">1st line</x:t>
  </x:si>
  <x:si>
    <x:t xml:space="preserve">Business / Model Owner</x:t>
  </x:si>
  <x:si>
    <x:t xml:space="preserve">Owns the use-case and its outcomes; accountable for intended use, risk acceptance at unit level, and day-to-day operation.</x:t>
  </x:si>
  <x:si>
    <x:t xml:space="preserve">Responsible / Accountable (use-case)</x:t>
  </x:si>
  <x:si>
    <x:t xml:space="preserve">Model Developer / Data Science</x:t>
  </x:si>
  <x:si>
    <x:t xml:space="preserve">Designs, builds, documents and tests the model; implements responsible-AI design requirements.</x:t>
  </x:si>
  <x:si>
    <x:t xml:space="preserve">Responsible (build, document)</x:t>
  </x:si>
  <x:si>
    <x:t xml:space="preserve">Data Owner / Steward</x:t>
  </x:si>
  <x:si>
    <x:t xml:space="preserve">Accountable for data quality, representativeness, lineage, provenance and data rights for AI.</x:t>
  </x:si>
  <x:si>
    <x:t xml:space="preserve">Responsible (data)</x:t>
  </x:si>
  <x:si>
    <x:t xml:space="preserve">2nd line</x:t>
  </x:si>
  <x:si>
    <x:t xml:space="preserve">AI Risk / Model Risk Mgmt</x:t>
  </x:si>
  <x:si>
    <x:t xml:space="preserve">Independent oversight; sets materiality methodology, maintains framework &amp; inventory standards, challenges 1st line.</x:t>
  </x:si>
  <x:si>
    <x:t xml:space="preserve">Responsible (oversight, triage)</x:t>
  </x:si>
  <x:si>
    <x:t xml:space="preserve">Independent Validation</x:t>
  </x:si>
  <x:si>
    <x:t xml:space="preserve">Validates models independently of developers; issues validation opinion before deployment and at re-validation.</x:t>
  </x:si>
  <x:si>
    <x:t xml:space="preserve">Responsible (validation)</x:t>
  </x:si>
  <x:si>
    <x:t xml:space="preserve">Compliance &amp; Legal</x:t>
  </x:si>
  <x:si>
    <x:t xml:space="preserve">Maps regulatory obligations (MAS, PDPA, EU AI Act); reviews disclosures and external reporting.</x:t>
  </x:si>
  <x:si>
    <x:t xml:space="preserve">Consulted (regulatory)</x:t>
  </x:si>
  <x:si>
    <x:t xml:space="preserve">Data Protection Officer</x:t>
  </x:si>
  <x:si>
    <x:t xml:space="preserve">Owns privacy impact (DPIA) and personal-data handling for AI systems.</x:t>
  </x:si>
  <x:si>
    <x:t xml:space="preserve">Consulted (privacy)</x:t>
  </x:si>
  <x:si>
    <x:t xml:space="preserve">InfoSec / Cybersecurity</x:t>
  </x:si>
  <x:si>
    <x:t xml:space="preserve">AI-specific security, red-teaming, adversarial testing and technology controls.</x:t>
  </x:si>
  <x:si>
    <x:t xml:space="preserve">Responsible (security testing)</x:t>
  </x:si>
  <x:si>
    <x:t xml:space="preserve">3rd line</x:t>
  </x:si>
  <x:si>
    <x:t xml:space="preserve">Internal Audit</x:t>
  </x:si>
  <x:si>
    <x:t xml:space="preserve">Independent assurance over the AI governance framework and its operation; not involved in design/run.</x:t>
  </x:si>
  <x:si>
    <x:t xml:space="preserve">Consulted / Informed (assurance)</x:t>
  </x:si>
  <x:si>
    <x:t xml:space="preserve">AI Governance Playbooks &amp; Runbooks — 10 Lifecycle Plays</x:t>
  </x:si>
  <x:si>
    <x:t xml:space="preserve">Each play opens with a header row (trigger, frequency, accountable owner, exit gate), followed by its ordered runbook steps. Filter on column A to jump to a play.</x:t>
  </x:si>
  <x:si>
    <x:t xml:space="preserve">Play / Step</x:t>
  </x:si>
  <x:si>
    <x:t xml:space="preserve">Step owner (role)</x:t>
  </x:si>
  <x:si>
    <x:t xml:space="preserve">Action / procedure</x:t>
  </x:si>
  <x:si>
    <x:t xml:space="preserve">Trigger / cadence</x:t>
  </x:si>
  <x:si>
    <x:t xml:space="preserve">Evidence / output</x:t>
  </x:si>
  <x:si>
    <x:t xml:space="preserve">Controls satisfied (ISO | NIST | MAS | MGF)</x:t>
  </x:si>
  <x:si>
    <x:t xml:space="preserve">PLAY 1 — AI Use-Case Intake &amp; Triage</x:t>
  </x:si>
  <x:si>
    <x:t xml:space="preserve">Trigger: New AI/ML/GenAI use-case proposed, or material change to an existing one    |    Frequency: On event    |    Owner — A: AI Risk Committee | R: Model Owner    |    Exit gate: Use-case registered &amp; risk-tiered; documented go/no-go to proceed</x:t>
  </x:si>
  <x:si>
    <x:t xml:space="preserve">ISO A.4.2, A.5.2 | NIST GOVERN 1.6, MAP 1.1 | MAS M2.1, M2.2, M2.3 | MGF D1.1, D1.2, D1.6</x:t>
  </x:si>
  <x:si>
    <x:t xml:space="preserve">  Step 1</x:t>
  </x:si>
  <x:si>
    <x:t xml:space="preserve">Submit AI use-case intake form: purpose, data used, users, decisions affected, expected benefits.</x:t>
  </x:si>
  <x:si>
    <x:t xml:space="preserve">Intake form</x:t>
  </x:si>
  <x:si>
    <x:t xml:space="preserve">  Step 2</x:t>
  </x:si>
  <x:si>
    <x:t xml:space="preserve">AI Risk (2nd line)</x:t>
  </x:si>
  <x:si>
    <x:t xml:space="preserve">Register the use-case in the central AI inventory with dependencies and ownership.</x:t>
  </x:si>
  <x:si>
    <x:t xml:space="preserve">AI inventory entry</x:t>
  </x:si>
  <x:si>
    <x:t xml:space="preserve">  Step 3</x:t>
  </x:si>
  <x:si>
    <x:t xml:space="preserve">Run initial risk-materiality triage scoring impact x complexity x reliance.</x:t>
  </x:si>
  <x:si>
    <x:t xml:space="preserve">Materiality score &amp; rationale</x:t>
  </x:si>
  <x:si>
    <x:t xml:space="preserve">  Step 4</x:t>
  </x:si>
  <x:si>
    <x:t xml:space="preserve">AI Risk Committee</x:t>
  </x:si>
  <x:si>
    <x:t xml:space="preserve">Route by materiality: low -&gt; streamlined path; high -&gt; full impact assessment + committee review.</x:t>
  </x:si>
  <x:si>
    <x:t xml:space="preserve">Routing decision</x:t>
  </x:si>
  <x:si>
    <x:t xml:space="preserve">PLAY 2 — AI Impact &amp; Risk Assessment</x:t>
  </x:si>
  <x:si>
    <x:t xml:space="preserve">Trigger: High-materiality use-case routed from intake    |    Frequency: On event    |    Owner — A: AI Risk Committee | R: AI Risk (2nd line)    |    Exit gate: Approved impact assessment with mitigations &amp; documented residual risk</x:t>
  </x:si>
  <x:si>
    <x:t xml:space="preserve">ISO A.5.2-A.5.5 | NIST MAP 5.1, 5.2, MEASURE 1.1 | MAS M2.3, M2.4, M3.2 | MGF D1.1, D1.5 | FEAT F1-F4 (assess)</x:t>
  </x:si>
  <x:si>
    <x:t xml:space="preserve">Model Owner + AI Risk</x:t>
  </x:si>
  <x:si>
    <x:t xml:space="preserve">Identify affected individuals/groups and analyse impact (fairness). Trigger the FEAT assessment per the FEAT Assessment Methodology (Veritas): Ethics &amp; Accountability (F2/F3) set at org level, Fairness (F1) and Transparency (F4) run concurrently for the use case. For high-materiality use cases, initiate independent validation.</x:t>
  </x:si>
  <x:si>
    <x:t xml:space="preserve">Impact analysis</x:t>
  </x:si>
  <x:si>
    <x:t xml:space="preserve">DPO</x:t>
  </x:si>
  <x:si>
    <x:t xml:space="preserve">Complete privacy impact assessment (DPIA) where personal data is involved.</x:t>
  </x:si>
  <x:si>
    <x:t xml:space="preserve">DPIA</x:t>
  </x:si>
  <x:si>
    <x:t xml:space="preserve">Model Owner</x:t>
  </x:si>
  <x:si>
    <x:t xml:space="preserve">Document foreseeable misuse, predictable failure modes and proposed mitigations.</x:t>
  </x:si>
  <x:si>
    <x:t xml:space="preserve">Failure-mode register</x:t>
  </x:si>
  <x:si>
    <x:t xml:space="preserve">AI Risk</x:t>
  </x:si>
  <x:si>
    <x:t xml:space="preserve">Assess societal/environmental impact for material or public-facing systems.</x:t>
  </x:si>
  <x:si>
    <x:t xml:space="preserve">Societal-impact note</x:t>
  </x:si>
  <x:si>
    <x:t xml:space="preserve">  Step 5</x:t>
  </x:si>
  <x:si>
    <x:t xml:space="preserve">Review and sign off the impact assessment; record residual risk.</x:t>
  </x:si>
  <x:si>
    <x:t xml:space="preserve">Signed impact assessment</x:t>
  </x:si>
  <x:si>
    <x:t xml:space="preserve">PLAY 3 — Development &amp; Validation Gate</x:t>
  </x:si>
  <x:si>
    <x:t xml:space="preserve">Trigger: Model development complete; pre-deployment    |    Frequency: On event    |    Owner — A: AI Risk Committee | R: Independent Validation    |    Exit gate: Independent validation sign-off; validation report filed</x:t>
  </x:si>
  <x:si>
    <x:t xml:space="preserve">ISO A.6.2.2-A.6.2.4, A.7.2-A.7.6 | NIST MEASURE 2.1-2.13 | MAS M3.1, M3.3, M3.5, M3.6, M3.7, M3.8 | MGF D1.3, D1.4, D3.1-D3.9 | FEAT F1, F4</x:t>
  </x:si>
  <x:si>
    <x:t xml:space="preserve">Data Owner</x:t>
  </x:si>
  <x:si>
    <x:t xml:space="preserve">Sign off data quality, representativeness, lineage and provenance for training/test data.</x:t>
  </x:si>
  <x:si>
    <x:t xml:space="preserve">Data sign-off</x:t>
  </x:si>
  <x:si>
    <x:t xml:space="preserve">Model Developer</x:t>
  </x:si>
  <x:si>
    <x:t xml:space="preserve">Document model &amp; feature selection, design decisions and requirements traceability.</x:t>
  </x:si>
  <x:si>
    <x:t xml:space="preserve">Model documentation</x:t>
  </x:si>
  <x:si>
    <x:t xml:space="preserve">Run testing &amp; evaluation: performance, robustness, fairness/bias, security, explainability.</x:t>
  </x:si>
  <x:si>
    <x:t xml:space="preserve">Test results</x:t>
  </x:si>
  <x:si>
    <x:t xml:space="preserve">Independently validate the model (independent of developers); issue validation opinion.</x:t>
  </x:si>
  <x:si>
    <x:t xml:space="preserve">Validation report</x:t>
  </x:si>
  <x:si>
    <x:t xml:space="preserve">PLAY 4 — Pre-Deployment Approval (Release Gate)</x:t>
  </x:si>
  <x:si>
    <x:t xml:space="preserve">Trigger: Validation passed; ready to deploy    |    Frequency: On event    |    Owner — A: AI Risk Committee (high-materiality) / Model Owner (low)    |    Exit gate: Documented deployment approval &amp; explicit risk acceptance</x:t>
  </x:si>
  <x:si>
    <x:t xml:space="preserve">ISO A.6.2.5, A.9.2-A.9.4 | NIST MANAGE 1.1, MEASURE 2.3 | MAS M3.4, M3.9 | MGF D2.3, D2.4, D3.10 | FEAT F1-F4 (sign-off)</x:t>
  </x:si>
  <x:si>
    <x:t xml:space="preserve">Confirm release criteria are met and deployment environment is ready, including FEAT sign-off (F1-F4) and — for high-materiality models — independent validation sign-off per the FEAT Assessment Methodology §D. No high-materiality model is released without it.</x:t>
  </x:si>
  <x:si>
    <x:t xml:space="preserve">Release checklist</x:t>
  </x:si>
  <x:si>
    <x:t xml:space="preserve">Model Owner + InfoSec</x:t>
  </x:si>
  <x:si>
    <x:t xml:space="preserve">Confirm human-oversight design and rollback / kill-switch plan are in place.</x:t>
  </x:si>
  <x:si>
    <x:t xml:space="preserve">Oversight &amp; rollback plan</x:t>
  </x:si>
  <x:si>
    <x:t xml:space="preserve">AI Risk Committee / Model Owner</x:t>
  </x:si>
  <x:si>
    <x:t xml:space="preserve">Accountable owner accepts residual risk; committee approves for high-materiality.</x:t>
  </x:si>
  <x:si>
    <x:t xml:space="preserve">Signed deployment approval</x:t>
  </x:si>
  <x:si>
    <x:t xml:space="preserve">PLAY 5 — Post-Deployment Monitoring</x:t>
  </x:si>
  <x:si>
    <x:t xml:space="preserve">Trigger: System is live    |    Frequency: Continuous; reviewed monthly/quarterly    |    Owner — A: Model Owner | R: AI Risk (2nd line)    |    Exit gate: Monitoring report each cycle; triggers for re-validation or retirement</x:t>
  </x:si>
  <x:si>
    <x:t xml:space="preserve">ISO A.6.2.6 | NIST MEASURE 2.4, 3.1, MANAGE 4.1 | MAS M3.8, M3.10 | MGF D2.5, D2.6, D3.11-D3.14, D3.16 | FEAT F1, F4 (drift)</x:t>
  </x:si>
  <x:si>
    <x:t xml:space="preserve">Monitor performance &amp; drift against thresholds; investigate threshold breaches.</x:t>
  </x:si>
  <x:si>
    <x:t xml:space="preserve">Continuous; reviewed monthly/quarterly</x:t>
  </x:si>
  <x:si>
    <x:t xml:space="preserve">Monitoring dashboard</x:t>
  </x:si>
  <x:si>
    <x:t xml:space="preserve">Re-check fairness/bias and confirm usage stays within intended use.</x:t>
  </x:si>
  <x:si>
    <x:t xml:space="preserve">Periodic re-check note</x:t>
  </x:si>
  <x:si>
    <x:t xml:space="preserve">Review monitoring dashboard; decide on re-validation, change or retirement.</x:t>
  </x:si>
  <x:si>
    <x:t xml:space="preserve">Committee minutes</x:t>
  </x:si>
  <x:si>
    <x:t xml:space="preserve">PLAY 6 — AI Incident Response (Runbook)</x:t>
  </x:si>
  <x:si>
    <x:t xml:space="preserve">Trigger: AI incident: harmful/erroneous output, drift breach, bias complaint, jailbreak/security event, agent acting out of scope    |    Frequency: On event    |    Owner — A: AI Risk Committee | R: Model Owner + InfoSec    |    Exit gate: Incident closed; root-cause documented; lessons fed back into controls</x:t>
  </x:si>
  <x:si>
    <x:t xml:space="preserve">ISO A.3.3, A.8.4, A.6.2.6 | NIST GOVERN 4.3, MANAGE 2.3, 2.4, 4.3, MEASURE 3.3 | MAS M3.11 | MGF D3.15, D3.16</x:t>
  </x:si>
  <x:si>
    <x:t xml:space="preserve">Whoever detects</x:t>
  </x:si>
  <x:si>
    <x:t xml:space="preserve">Detect and log the incident; record time, system, symptoms, initial impact.</x:t>
  </x:si>
  <x:si>
    <x:t xml:space="preserve">Incident ticket</x:t>
  </x:si>
  <x:si>
    <x:t xml:space="preserve">AI Risk + Model Owner</x:t>
  </x:si>
  <x:si>
    <x:t xml:space="preserve">Triage severity and classify; convene responders.</x:t>
  </x:si>
  <x:si>
    <x:t xml:space="preserve">Severity classification</x:t>
  </x:si>
  <x:si>
    <x:t xml:space="preserve">Contain: disengage / rollback / activate kill-switch; isolate affected components.</x:t>
  </x:si>
  <x:si>
    <x:t xml:space="preserve">Containment record</x:t>
  </x:si>
  <x:si>
    <x:t xml:space="preserve">Assess against the FSM-N05 (TRM) “relevant incident” threshold — severe/widespread operational impact, or material customer-service impact. If met: notify MAS within 1 HOUR of discovery (BCM hotline) and submit root-cause &amp; impact report within 14 DAYS. Notify internal stakeholders in parallel.</x:t>
  </x:si>
  <x:si>
    <x:t xml:space="preserve">MAS notification (≤1 hr); RCA &amp; impact report (≤14 days); stakeholder notification log</x:t>
  </x:si>
  <x:si>
    <x:t xml:space="preserve">Model Developer + AI Risk</x:t>
  </x:si>
  <x:si>
    <x:t xml:space="preserve">Root-cause analysis; remediate; verify fix.</x:t>
  </x:si>
  <x:si>
    <x:t xml:space="preserve">RCA &amp; remediation</x:t>
  </x:si>
  <x:si>
    <x:t xml:space="preserve">  Step 6</x:t>
  </x:si>
  <x:si>
    <x:t xml:space="preserve">Post-incident review; update controls, tests and playbook.</x:t>
  </x:si>
  <x:si>
    <x:t xml:space="preserve">Post-incident review</x:t>
  </x:si>
  <x:si>
    <x:t xml:space="preserve">PLAY 7 — Third-Party / Foundation-Model Onboarding</x:t>
  </x:si>
  <x:si>
    <x:t xml:space="preserve">Trigger: Procuring external AI model/service/data, or a vendor model version change    |    Frequency: On event    |    Owner — A: AI Risk Committee | R: Model Owner + Procurement    |    Exit gate: Approved vendor with documented responsibility allocation &amp; monitoring plan</x:t>
  </x:si>
  <x:si>
    <x:t xml:space="preserve">ISO A.10.2-A.10.4 | NIST GOVERN 6.1, 6.2, MAP 4.1, MANAGE 3.1, 3.2 | MAS M3.14 | MGF D1.5, D1.6</x:t>
  </x:si>
  <x:si>
    <x:t xml:space="preserve">Due diligence: responsible-AI posture, security, data rights, IP, known limitations.</x:t>
  </x:si>
  <x:si>
    <x:t xml:space="preserve">Due-diligence record</x:t>
  </x:si>
  <x:si>
    <x:t xml:space="preserve">Contractual clauses: responsibility allocation, change notification, audit rights, exit.</x:t>
  </x:si>
  <x:si>
    <x:t xml:space="preserve">Signed contract terms</x:t>
  </x:si>
  <x:si>
    <x:t xml:space="preserve">Assess concentration risk; pin model version; define change-notification triggers.</x:t>
  </x:si>
  <x:si>
    <x:t xml:space="preserve">Concentration &amp; versioning note</x:t>
  </x:si>
  <x:si>
    <x:t xml:space="preserve">Set up ongoing monitoring of the third-party model/service.</x:t>
  </x:si>
  <x:si>
    <x:t xml:space="preserve">Vendor monitoring plan</x:t>
  </x:si>
  <x:si>
    <x:t xml:space="preserve">PLAY 8 — Periodic Review &amp; Re-Validation</x:t>
  </x:si>
  <x:si>
    <x:t xml:space="preserve">Trigger: Scheduled (risk-tiered cadence) or material change    |    Frequency: Annual / risk-tiered    |    Owner — A: AI Risk Committee | R: Independent Validation    |    Exit gate: Re-approved, or escalated for change / retirement</x:t>
  </x:si>
  <x:si>
    <x:t xml:space="preserve">ISO A.2.4, A.6.2.4 | NIST MEASURE 1.2, MANAGE 4.2 | MAS M2.3, M3.12 | MGF D1.2, D2.2 | FEAT F1-F4 (re-assess)</x:t>
  </x:si>
  <x:si>
    <x:t xml:space="preserve">Re-run materiality assessment; confirm risk tier still correct.</x:t>
  </x:si>
  <x:si>
    <x:t xml:space="preserve">Annual / risk-tiered</x:t>
  </x:si>
  <x:si>
    <x:t xml:space="preserve">Updated materiality</x:t>
  </x:si>
  <x:si>
    <x:t xml:space="preserve">Re-validate model; review monitoring history and drift since last review; re-run the FEAT assessment (fairness drift F1, transparency F4) per cadence — annual for high-materiality, plus event-driven.</x:t>
  </x:si>
  <x:si>
    <x:t xml:space="preserve">Re-validation report</x:t>
  </x:si>
  <x:si>
    <x:t xml:space="preserve">Refresh impact assessment for any context/regulatory changes.</x:t>
  </x:si>
  <x:si>
    <x:t xml:space="preserve">Updated impact assessment</x:t>
  </x:si>
  <x:si>
    <x:t xml:space="preserve">Decide: re-approve, require changes, or retire.</x:t>
  </x:si>
  <x:si>
    <x:t xml:space="preserve">Committee decision</x:t>
  </x:si>
  <x:si>
    <x:t xml:space="preserve">PLAY 9 — Decommissioning</x:t>
  </x:si>
  <x:si>
    <x:t xml:space="preserve">Trigger: Model retired or replaced    |    Frequency: On event    |    Owner — A: Model Owner | R: AI Risk (2nd line)    |    Exit gate: Decommissioned safely; inventory updated; records archived</x:t>
  </x:si>
  <x:si>
    <x:t xml:space="preserve">ISO A.6.2.6 | NIST GOVERN 1.7, MANAGE 2.4 | MAS M3.13 | MGF D1.5</x:t>
  </x:si>
  <x:si>
    <x:t xml:space="preserve">Assess impact on dependent systems/users; plan safe phase-out.</x:t>
  </x:si>
  <x:si>
    <x:t xml:space="preserve">Phase-out plan</x:t>
  </x:si>
  <x:si>
    <x:t xml:space="preserve">Data Owner + DPO</x:t>
  </x:si>
  <x:si>
    <x:t xml:space="preserve">Handle data retention/disposal per policy and privacy obligations.</x:t>
  </x:si>
  <x:si>
    <x:t xml:space="preserve">Data disposal record</x:t>
  </x:si>
  <x:si>
    <x:t xml:space="preserve">InfoSec</x:t>
  </x:si>
  <x:si>
    <x:t xml:space="preserve">Remove access and credentials; decommission infrastructure.</x:t>
  </x:si>
  <x:si>
    <x:t xml:space="preserve">Access-removal log</x:t>
  </x:si>
  <x:si>
    <x:t xml:space="preserve">Archive documentation &amp; event logs; update the AI inventory.</x:t>
  </x:si>
  <x:si>
    <x:t xml:space="preserve">Archive &amp; inventory update</x:t>
  </x:si>
  <x:si>
    <x:t xml:space="preserve">PLAY 10 — Stress-Test / Red-Team Cycle</x:t>
  </x:si>
  <x:si>
    <x:t xml:space="preserve">Trigger: Scheduled per hotspot cadence + before any major release    |    Frequency: Quarterly + pre-release    |    Owner — A: AI Risk Committee | R: InfoSec + AI Risk    |    Exit gate: Results logged in Stress-Test Tracker; remediation tracked to closure</x:t>
  </x:si>
  <x:si>
    <x:t xml:space="preserve">NIST MEASURE 2.6, 2.7, MANAGE 1.1-1.4 | MAS M3.6, M3.15 | see Stress-Test Tracker tab | MGF D3.8, D3.9, D4.5</x:t>
  </x:si>
  <x:si>
    <x:t xml:space="preserve">Select hotspots in scope for this cycle (see Stress-Test Tracker).</x:t>
  </x:si>
  <x:si>
    <x:t xml:space="preserve">Quarterly + pre-release</x:t>
  </x:si>
  <x:si>
    <x:t xml:space="preserve">Scope note</x:t>
  </x:si>
  <x:si>
    <x:t xml:space="preserve">Design scenario / adversarial / red-team tests; chain hotspots where useful.</x:t>
  </x:si>
  <x:si>
    <x:t xml:space="preserve">Test plan</x:t>
  </x:si>
  <x:si>
    <x:t xml:space="preserve">InfoSec + Model Owner</x:t>
  </x:si>
  <x:si>
    <x:t xml:space="preserve">Execute tests in a controlled environment; capture findings.</x:t>
  </x:si>
  <x:si>
    <x:t xml:space="preserve">Test evidence</x:t>
  </x:si>
  <x:si>
    <x:t xml:space="preserve">Rate results and residual risk; log in tracker; raise remediation items.</x:t>
  </x:si>
  <x:si>
    <x:t xml:space="preserve">Updated tracker</x:t>
  </x:si>
  <x:si>
    <x:t xml:space="preserve">Review results; approve residual risk or require remediation.</x:t>
  </x:si>
  <x:si>
    <x:t xml:space="preserve">Committee sign-off</x:t>
  </x:si>
  <x:si>
    <x:t xml:space="preserve">PLAY 11 — Agentic Operation &amp; Human Oversight</x:t>
  </x:si>
  <x:si>
    <x:t xml:space="preserve">Trigger: Agentic AI system in live operation    |    Frequency: Continuous + monthly    |    Owner — A: AI Risk Committee | R: Model Owner + AI Risk    |    Exit gate: Oversight effectiveness evidenced; end-user disclosures &amp; training current</x:t>
  </x:si>
  <x:si>
    <x:t xml:space="preserve">ISO A.8.2-A.8.5, A.9.3-A.9.4, A.4.6 | NIST GOVERN 5.1, MEASURE 3.3 | MAS M1.5, M3.10 | MGF D2.5, D2.6, D2.7, D4.1-D4.5</x:t>
  </x:si>
  <x:si>
    <x:t xml:space="preserve">Model Owner + Compliance</x:t>
  </x:si>
  <x:si>
    <x:t xml:space="preserve">Publish end-user disclosures: agent capabilities, data access, limitations, and a human point of contact.</x:t>
  </x:si>
  <x:si>
    <x:t xml:space="preserve">Continuous</x:t>
  </x:si>
  <x:si>
    <x:t xml:space="preserve">Disclosure notice</x:t>
  </x:si>
  <x:si>
    <x:t xml:space="preserve">Model Owner + HR (capability)</x:t>
  </x:si>
  <x:si>
    <x:t xml:space="preserve">Train integrating users on oversight best practice, common failure modes and tradecraft preservation.</x:t>
  </x:si>
  <x:si>
    <x:t xml:space="preserve">On onboarding + periodic</x:t>
  </x:si>
  <x:si>
    <x:t xml:space="preserve">Training records</x:t>
  </x:si>
  <x:si>
    <x:t xml:space="preserve">Monitor human-oversight effectiveness — override rates and approval response times — to detect automation bias.</x:t>
  </x:si>
  <x:si>
    <x:t xml:space="preserve">Monthly</x:t>
  </x:si>
  <x:si>
    <x:t xml:space="preserve">Oversight-metrics report</x:t>
  </x:si>
  <x:si>
    <x:t xml:space="preserve">InfoSec + AI Risk</x:t>
  </x:si>
  <x:si>
    <x:t xml:space="preserve">In sensitive contexts, run end-user / red-team review of agent approval prompts and actions.</x:t>
  </x:si>
  <x:si>
    <x:t xml:space="preserve">Red-team review note</x:t>
  </x:si>
  <x:si>
    <x:t xml:space="preserve">Review oversight metrics and disclosures; confirm continued meaningful human accountability or require change.</x:t>
  </x:si>
  <x:si>
    <x:t xml:space="preserve">Note:</x:t>
  </x:si>
  <x:si>
    <x:t xml:space="preserve">* Play 2 (AI Impact &amp; Risk Assessment) -- trigers the FEAT assessment; Ethics/Accountability set at org level, Fairness/Transparency run per use case.</x:t>
  </x:si>
  <x:si>
    <x:t xml:space="preserve">* Play 3 &amp; 4 (Validation Gate/ Release Gate) - FEAT sign-off F1-F4; no high-materiality model releases without section D validation.</x:t>
  </x:si>
  <x:si>
    <x:t xml:space="preserve">* Play 5 &amp; 8 (Monitoring/ Re-validation) - fairness-drift (F1) and transparency (F4) re-assessment on cadence.</x:t>
  </x:si>
  <x:si>
    <x:t xml:space="preserve">Control Library - ISO 42001 — Control Tracker</x:t>
  </x:si>
  <x:si>
    <x:t xml:space="preserve">Control Objective</x:t>
  </x:si>
  <x:si>
    <x:t xml:space="preserve">Control ID</x:t>
  </x:si>
  <x:si>
    <x:t xml:space="preserve">Control Title</x:t>
  </x:si>
  <x:si>
    <x:t xml:space="preserve">Requirement (summary)</x:t>
  </x:si>
  <x:si>
    <x:t xml:space="preserve">Owner (role)</x:t>
  </x:si>
  <x:si>
    <x:t xml:space="preserve">Status</x:t>
  </x:si>
  <x:si>
    <x:t xml:space="preserve">Maturity (1-5)</x:t>
  </x:si>
  <x:si>
    <x:t xml:space="preserve">Evidence / artifact</x:t>
  </x:si>
  <x:si>
    <x:t xml:space="preserve">Last reviewed</x:t>
  </x:si>
  <x:si>
    <x:t xml:space="preserve">Next review</x:t>
  </x:si>
  <x:si>
    <x:t xml:space="preserve">Gap / notes</x:t>
  </x:si>
  <x:si>
    <x:t xml:space="preserve">Linked play</x:t>
  </x:si>
  <x:si>
    <x:t xml:space="preserve">Test of Design</x:t>
  </x:si>
  <x:si>
    <x:t xml:space="preserve">Test of Operating Effectiveness</x:t>
  </x:si>
  <x:si>
    <x:t xml:space="preserve">ToD conclusion</x:t>
  </x:si>
  <x:si>
    <x:t xml:space="preserve">ToE conclusion</x:t>
  </x:si>
  <x:si>
    <x:t xml:space="preserve">Requirement elements (atomic — the unit of challenge)</x:t>
  </x:si>
  <x:si>
    <x:t xml:space="preserve">Population &amp; evidence floor</x:t>
  </x:si>
  <x:si>
    <x:t xml:space="preserve">Near-miss failure modes (challenge bank)</x:t>
  </x:si>
  <x:si>
    <x:t xml:space="preserve">Resolution — evidence that closes it</x:t>
  </x:si>
  <x:si>
    <x:t xml:space="preserve">Sufficiency boundary (none / partial / full)</x:t>
  </x:si>
  <x:si>
    <x:t xml:space="preserve">Test provenance</x:t>
  </x:si>
  <x:si>
    <x:t xml:space="preserve">A.2 Policies related to AI</x:t>
  </x:si>
  <x:si>
    <x:t xml:space="preserve">A.2.2</x:t>
  </x:si>
  <x:si>
    <x:t xml:space="preserve">AI policy</x:t>
  </x:si>
  <x:si>
    <x:t xml:space="preserve">Maintain a written, management-approved AI policy that sets out how the organisation develops and uses AI. The foundation every other control hangs off.</x:t>
  </x:si>
  <x:si>
    <x:t xml:space="preserve">AI Risk Cttee / Compliance</x:t>
  </x:si>
  <x:si>
    <x:t xml:space="preserve">Not started</x:t>
  </x:si>
  <x:si>
    <x:t xml:space="preserve">D1. Obtain the approved policy or standard covering AI policy,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</x:si>
  <x:si>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O1. Define the population: AI use cases, systems or activities in scope of the policy during the period, taken from the AI inventory rather than from a list supplied by the assessed team.
O2. Sample across materiality tiers and include at least one use case that went live in the period.
O3. Reperform: verify each sampled item was assessed against the policy at the required point, and that any required attestation or approval exists and predates the activity.
O4. Inspect the exception and breach records for the period — verify each is dated, owned, time-bound and dispositioned.
Operating verdict: EFFECTIVE when sampled use follows the approved policy and exceptions are governed. PARTIALLY EFFECTIVE when compliance is inconsistent or exceptions are open past expiry. INEFFECTIVE when the policy was bypassed for material use. NOT TESTABLE when the in-scope population cannot be established.</x:t>
  </x:si>
  <x:si>
    <x:t xml:space="preserve">Not tested</x:t>
  </x:si>
  <x:si>
    <x:t xml:space="preserve">e1. An approved, current policy or standard covering AI policy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</x:si>
  <x:si>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Population: all in-scope AI use cases or activities in the period, drawn from the AI inventory. Evidence floor: fewer than 3 sampled items, or an inventory that cannot be reconciled, makes the operating result NOT TESTABLE.</x:t>
  </x:si>
  <x:si>
    <x:t xml:space="preserve">F1. The policy is approved but has no implementing procedure — nothing in the operating environment makes the requirement happen.
F2. Scope is written so broadly ('all AI use') that no one can tell whether a given system is in or out.
F3. Exceptions are granted by the same team that needs them, with no expiry.
F4. The policy was approved in the period but the sampled use cases predate it and were never reassessed against it.
F5. A breach register exists but every entry is closed as 'noted' with no remediation or acceptance.</x:t>
  </x:si>
  <x:si>
    <x:t xml:space="preserve">F1 → A named procedure, runbook or control that implements the clause, with an owner.
F2 → A scope statement with inclusion and exclusion criteria, or a mapping from the inventory to in-scope flag.
F3 → An exception record showing an independent grantor, a stated basis and an expiry date.
F4 → A reassessment record for pre-existing use cases, or an approved grandfathering decision.
F5 → A breach entry with a remediation action, owner and closure evidence, or a formal risk acceptance.</x:t>
  </x:si>
  <x:si>
    <x:t xml:space="preserve">none - no approved policy, or a document with no owner and no scope.
partial - an approved policy exists but lacks an exception route, an implementing control, or sampled activity does not consistently follow it.
full - the policy is approved, current, scoped, owned, implemented by a named control, and sampled activity follows it with exceptions governed.</x:t>
  </x:si>
  <x:si>
    <x:t xml:space="preserve">Archetype: policy_standard — DRAFT, requires second-line authoring and control-owner approval before authoritative use</x:t>
  </x:si>
  <x:si>
    <x:t xml:space="preserve">A.2.3</x:t>
  </x:si>
  <x:si>
    <x:t xml:space="preserve">Alignment with other organisational policies</x:t>
  </x:si>
  <x:si>
    <x:t xml:space="preserve">Ensure the AI policy is consistent with existing security, privacy, risk, HR, procurement and ethics policies; update those policies where they intersect rather than creating conflicts.</x:t>
  </x:si>
  <x:si>
    <x:t xml:space="preserve">D1. Obtain the approved policy or standard covering Alignment with other organisational policies,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</x:si>
  <x:si>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Alignment with other organisational policies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</x:si>
  <x:si>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A.2.4</x:t>
  </x:si>
  <x:si>
    <x:t xml:space="preserve">Review of the AI policy</x:t>
  </x:si>
  <x:si>
    <x:t xml:space="preserve">Review the AI policy on a planned cycle and whenever something material changes (new regulation, new use case, incident lessons) to confirm continued fitness and management support.</x:t>
  </x:si>
  <x:si>
    <x:t xml:space="preserve">Play 8</x:t>
  </x:si>
  <x:si>
    <x:t xml:space="preserve">D1. Obtain the approved policy or standard covering Review of the AI policy,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</x:si>
  <x:si>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Review of the AI policy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</x:si>
  <x:si>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A.3 Internal organisation</x:t>
  </x:si>
  <x:si>
    <x:t xml:space="preserve">A.3.2</x:t>
  </x:si>
  <x:si>
    <x:t xml:space="preserve">AI roles and responsibilities</x:t>
  </x:si>
  <x:si>
    <x:t xml:space="preserve">Define and explicitly assign accountability and responsibility for AI activities across the life cycle (risk, impact assessment, development, oversight, data quality, security, supplier management) so nothing falls in a gap.</x:t>
  </x:si>
  <x:si>
    <x:t xml:space="preserve">D1. Obtain the approved terms of reference, mandate or charter covering AI roles and responsibilities,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</x:si>
  <x:si>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O1. Define the population: all meetings, decisions or approvals falling under the mandate in the review period. Establish the population from the calendar or register, not from the minutes supplied.
O2. Sample at least three meetings including every meeting at which a high-materiality matter was decided. Verify attendance against quorum.
O3. Reperform: trace each sampled material AI matter to a recorded decision, a named decision-maker and a dated action, then trace open actions to closure or formal acceptance.
O4. Inspect any period in which the cadence was missed and the disposition of that gap.
Operating verdict: EFFECTIVE when the body met at cadence, decided the material matters in scope, and actions were tracked. PARTIALLY EFFECTIVE when it operated but decisions or follow-up are incomplete. INEFFECTIVE when material matters bypassed the body. NOT TESTABLE when the population cannot be established.</x:t>
  </x:si>
  <x:si>
    <x:t xml:space="preserve">e1. A named body or role holds an approved mandate covering AI roles and responsibilities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</x:si>
  <x:si>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Population: every meeting or reserved decision in the review period, established from the governance calendar or decision register. Evidence floor: fewer than 3 meetings or fewer than 1 material decision available to inspect makes the operating result NOT TESTABLE rather than a PASS.</x:t>
  </x:si>
  <x:si>
    <x:t xml:space="preserve">F1. Minutes record attendance and papers tabled but no decision — the body was informed rather than deciding.
F2. The material decision was taken outside the body and ratified afterwards, with the ratification date after the go-live date.
F3. Quorum was not met at the meeting where the reserved decision was taken, and the minutes do not record it.
F4. Actions carry an owner but no due date, and the same actions reappear across consecutive meetings without disposition.
F5. The mandate is approved but predates the AI scope it is claimed to cover — for example approved before agentic use cases existed.</x:t>
  </x:si>
  <x:si>
    <x:t xml:space="preserve">F1 → A minuted decision with the decision wording, the decision-maker and the date.
F2 → Evidence that the approval preceded the deployment, or an approved retrospective risk acceptance naming the exposure.
F3 → An attendance record showing quorum, or a documented out-of-cycle approval route.
F4 → An action log with owner, due date and closure evidence or a formal acceptance.
F5 → A mandate version approved after the scope change, or a scope addendum with its own approval.</x:t>
  </x:si>
  <x:si>
    <x:t xml:space="preserve">none - no approved mandate, or a mandate that names no accountable body and no reserved decisions.
partial - an approved mandate exists but one or more of decision rights, quorum, cadence or escalation thresholds is absent, or the body exists but material decisions are not traceable to it.
full - mandate, reserved decision rights and reporting are approved and current, and material decisions in the period are attributable to the body with actions tracked.</x:t>
  </x:si>
  <x:si>
    <x:t xml:space="preserve">Archetype: governance_body — DRAFT, requires second-line authoring and control-owner approval before authoritative use</x:t>
  </x:si>
  <x:si>
    <x:t xml:space="preserve">A.3.3</x:t>
  </x:si>
  <x:si>
    <x:t xml:space="preserve">Reporting of concerns</x:t>
  </x:si>
  <x:si>
    <x:t xml:space="preserve">Provide a reporting channel (anonymous/confidential where appropriate, protected from reprisal) for staff, contractors and external parties to raise concerns about AI, with defined investigation and escalation.</x:t>
  </x:si>
  <x:si>
    <x:t xml:space="preserve">Play 6</x:t>
  </x:si>
  <x:si>
    <x:t xml:space="preserve">D1. Obtain the incident or escalation procedure covering Reporting of concerns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</x:si>
  <x:si>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O1. Define the population of incidents and near misses in the period from the incident system, and cross-check against monitoring alerts and complaint or override records for events that were never raised as incidents.
O2. Sample incidents and verify detection-to-notification and notification-to-containment times against the stated targets.
O3. Verify containment was invoked by an authorised role and took effect, with evidence from the system rather than the ticket.
O4. Trace post-incident actions to closure and to any control change they required.
O5. Where no incident occurred, test the mechanism — an exercise, a tabletop with evidence, or a controlled invocation in a non-production environment.
Operating verdict: EFFECTIVE when incidents were detected, escalated within target and contained, with lessons carried into controls. PARTIALLY EFFECTIVE when handling occurred but timings or closure are unevidenced. INEFFECTIVE when events were not raised or containment failed. NOT TESTABLE when no incident and no exercise occurred in the period.</x:t>
  </x:si>
  <x:si>
    <x:t xml:space="preserve">e1. An incident procedure covering Reporting of concerns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</x:si>
  <x:si>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Population: all incidents and near misses in the period, cross-checked against alerts, overrides and complaints. Evidence floor: zero incidents and no exercise means the mechanism is untested — report NOT TESTABLE rather than PASS.</x:t>
  </x:si>
  <x:si>
    <x:t xml:space="preserve">F1. Zero AI incidents in the period is presented as strength, with no near-miss capture and no exercise to show the process would engage.
F2. Events appear in the monitoring or complaint records but were never raised as incidents, so the population is understated.
F3. The kill switch is documented but has never been invoked, and no one can state how long it takes to take effect.
F4. Severity was assigned after resolution, and always at a level that avoided external notification.
F5. Post-incident actions are closed as 'awareness raised' with no control change.
F6. Containment is evidenced by a ticket status rather than by system evidence that the agent stopped acting.</x:t>
  </x:si>
  <x:si>
    <x:t xml:space="preserve">F1 → A near-miss register, or an exercise report with date, participants and observed timings.
F2 → A reconciliation from alerts and complaints to incidents, with any unraised events explained.
F3 → A containment test with a measured time to effect.
F4 → A severity assignment dated at detection, with the criteria applied.
F5 → A post-incident action that amended a control, with the amended control identified.
F6 → System evidence of containment — revoked credentials, disabled route, halted queue.</x:t>
  </x:si>
  <x:si>
    <x:t xml:space="preserve">none - no AI incident procedure, or no trigger and no containment path.
partial - the procedure exists and events were handled, but timings, containment effectiveness or lessons-to-controls are not evidenced.
full - incidents were detected and escalated within target, containment demonstrably took effect, and post-incident actions changed the controls they implicate.</x:t>
  </x:si>
  <x:si>
    <x:t xml:space="preserve">Archetype: incident_escalation — DRAFT, requires second-line authoring and control-owner approval before authoritative use</x:t>
  </x:si>
  <x:si>
    <x:t xml:space="preserve">A.4 Resources for AI systems</x:t>
  </x:si>
  <x:si>
    <x:t xml:space="preserve">A.4.2</x:t>
  </x:si>
  <x:si>
    <x:t xml:space="preserve">Resource documentation</x:t>
  </x:si>
  <x:si>
    <x:t xml:space="preserve">Build and maintain an inventory of the resources AI systems rely on at each life cycle stage; resource visibility makes risk assessment, impact assessment and incident response possible.</x:t>
  </x:si>
  <x:si>
    <x:t xml:space="preserve">Model Owner (1st line)</x:t>
  </x:si>
  <x:si>
    <x:t xml:space="preserve">Play 1</x:t>
  </x:si>
  <x:si>
    <x:t xml:space="preserve">D1. Obtain the approved methodology and template for Resource documentation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</x:si>
  <x:si>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O1. Define the population: all use cases requiring an assessment in the period, taken from the inventory or intake log.
O2. Sample across tiers, including at least one that was classified into the lowest tier — the classification most likely to be wrong and least likely to be challenged.
O3. Reperform the classification from the underlying facts and compare to the recorded outcome. A reperformance that disagrees is a finding regardless of the approver's seniority.
O4. Verify timing: the assessment date precedes the decision date. Verify reassessment where a trigger occurred.
Operating verdict: EFFECTIVE when reperformance agrees, timing holds and triggers were acted on. PARTIALLY EFFECTIVE when assessments are complete but late, or a low-tier outcome cannot be supported. INEFFECTIVE when assessments are missing for material use or systematically under-tier. NOT TESTABLE when the population of in-scope use cases cannot be established.</x:t>
  </x:si>
  <x:si>
    <x:t xml:space="preserve">e1. An approved methodology for Resource documentation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</x:si>
  <x:si>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Population: all use cases requiring assessment in the period, from the intake log or AI inventory. Evidence floor: fewer than 3 assessments, or no sample from the lowest tier, makes the operating result NOT TESTABLE.</x:t>
  </x:si>
  <x:si>
    <x:t xml:space="preserve">F1. Every use case lands in the same tier, which means the scheme is not discriminating or is being applied to reach a pre-decided answer.
F2. The assessment is dated after the go-live date, so it documented a decision rather than informing it.
F3. The assessor and the requester are the same person or the same team.
F4. A low-tier classification rests on a scope statement that excludes the risky part of the system — for example classifying a copilot as advisory while it writes to a system of record.
F5. Reassessment triggers exist on paper but no reassessment occurred despite a material model or vendor change in the period.</x:t>
  </x:si>
  <x:si>
    <x:t xml:space="preserve">F1 → A tier distribution across the population, with the rationale for outliers in either direction.
F2 → An assessment record dated before the approval or go-live date, or a documented retrospective acceptance.
F3 → An approval by a role outside the delivery team, named in the record.
F4 → A scope statement that enumerates the system's write paths and downstream effects, reassessed on that basis.
F5 → A reassessment record tied to the change that triggered it.</x:t>
  </x:si>
  <x:si>
    <x:t xml:space="preserve">none - no methodology, or assessments performed with no criteria.
partial - a methodology exists and is used, but timing, independence, threshold discipline or reassessment is not evidenced.
full - assessments are complete, timely, independent of the requester, reperformable from the recorded facts, and drive the controls their outcome obliges.</x:t>
  </x:si>
  <x:si>
    <x:t xml:space="preserve">Archetype: assessment_classification — DRAFT, requires second-line authoring and control-owner approval before authoritative use</x:t>
  </x:si>
  <x:si>
    <x:t xml:space="preserve">A.4.3</x:t>
  </x:si>
  <x:si>
    <x:t xml:space="preserve">Data resources</x:t>
  </x:si>
  <x:si>
    <x:t xml:space="preserve">Record details of every dataset used: provenance, last-updated timestamps, category (training/validation/test/production), labelling process, intended purpose, quality, retention and known bias issues.</x:t>
  </x:si>
  <x:si>
    <x:t xml:space="preserve">D1. Obtain the data requirement covering Data resources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x:t>
  </x:si>
  <x:si>
    <x:t xml:space="preserve">O1. Define the population of data sources feeding the system in the period, taken from the pipeline or retrieval configuration rather than from documentation.
O2. Verify each source has a recorded permitted-use basis and an approval.
O3. Sample and test the quality attributes against their thresholds, using the retained measurement rather than a statement.
O4. Trace a deletion or correction request through to the model, index or cache that holds it.
O5. Verify lineage is sufficient to say which data version produced a given behaviour.
Operating verdict: EFFECTIVE when every live source is approved with a permitted-use basis, quality is measured against thresholds and deletion propagates. PARTIALLY EFFECTIVE when sources are governed but measurement or propagation is unevidenced. INEFFECTIVE when unapproved sources are live. NOT TESTABLE when the source population cannot be established from the pipeline.</x:t>
  </x:si>
  <x:si>
    <x:t xml:space="preserve">e1. In-scope data sources for Data resources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x:t>
  </x:si>
  <x:si>
    <x:t xml:space="preserve">Population: all data sources feeding the system in the period, from pipeline or retrieval configuration. Evidence floor: a source list taken from documentation rather than the pipeline cannot establish completeness — report NOT TESTABLE.</x:t>
  </x:si>
  <x:si>
    <x:t xml:space="preserve">F1. The documented source list and the retrieval configuration disagree, and only the document was assessed.
F2. Permitted use was assessed for analytics and not for model training or retrieval, which are different bases.
F3. Quality is described as 'reviewed for accuracy' with no measurement and no threshold.
F4. Deletion is honoured in the source system while the vector index or cache retains the content.
F5. A new source was added by a configuration change that never entered the data governance route.
F6. Lineage stops at the dataset name, with no version or snapshot date.</x:t>
  </x:si>
  <x:si>
    <x:t xml:space="preserve">F1 → A pipeline or retrieval configuration export reconciled to the documented source list.
F2 → A permitted-use assessment naming the specific processing purpose.
F3 → A measured quality result against a stated threshold.
F4 → Evidence of deletion propagating to the index or cache, with a re-query showing absence.
F5 → An approval record for the source addition, tied to the configuration change.
F6 → A lineage record carrying dataset version or snapshot date.</x:t>
  </x:si>
  <x:si>
    <x:t xml:space="preserve">none - no identified sources, or sources in use with no permitted-use basis.
partial - sources are identified and approved but quality measurement, deletion propagation or lineage versioning is not evidenced.
full - every live source is approved with a permitted-use basis, quality is measured against thresholds, deletion propagates to derived stores and lineage is version-specific.</x:t>
  </x:si>
  <x:si>
    <x:t xml:space="preserve">Archetype: data_lifecycle — DRAFT, requires second-line authoring and control-owner approval before authoritative use</x:t>
  </x:si>
  <x:si>
    <x:t xml:space="preserve">A.4.4</x:t>
  </x:si>
  <x:si>
    <x:t xml:space="preserve">Tooling resources</x:t>
  </x:si>
  <x:si>
    <x:t xml:space="preserve">Record the algorithms, ML models, frameworks, libraries, optimisation/evaluation methods and provisioning tools the AI system depends on, to enable reproducibility and supply-chain risk assessment.</x:t>
  </x:si>
  <x:si>
    <x:t xml:space="preserve">D1. Obtain the security or resilience requirement covering Tooling resources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x:t>
  </x:si>
  <x:si>
    <x:t xml:space="preserve">O1. Obtain the most recent testing covering the current architecture, and confirm its scope includes the AI components and their tool and data paths.
O2. Verify the testing was performed against the deployed version, by a party independent of the builder.
O3. Trace every material finding to remediation, re-test or an approved, time-bound acceptance.
O4. Sample runtime evidence that the trust boundary holds — blocked injection attempts, refused tool calls, egress controls.
O5. Verify degraded-mode and recovery behaviour was exercised where required.
Operating verdict: EFFECTIVE when current, independent testing covers the AI paths and findings are dispositioned. PARTIALLY EFFECTIVE when testing exists but is stale, narrow or findings remain open past target. INEFFECTIVE when the AI components were never in scope. NOT TESTABLE when testing reports are unavailable.</x:t>
  </x:si>
  <x:si>
    <x:t xml:space="preserve">e1. Security or resilience requirements covering Tooling resources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x:t>
  </x:si>
  <x:si>
    <x:t xml:space="preserve">Population: current testing reports plus runtime security events in the period. Evidence floor: testing that predates the current architecture, or zero runtime events with no test, makes the operating result NOT TESTABLE.</x:t>
  </x:si>
  <x:si>
    <x:t xml:space="preserve">F1. The penetration test covers the web application and stops at the API, leaving the model, its tools and its retrieval path untested.
F2. Testing predates the current architecture — new tools or data sources were added after the last test.
F3. Injection defences are described as prompt-level instructions to the model, which is guidance rather than enforcement.
F4. Findings are closed as 'risk accepted' with no expiry and no named acceptor.
F5. Zero blocked attempts is offered as evidence of safety, with no test showing the defence would block.
F6. The system treats retrieved document content and tool output as trusted instruction.</x:t>
  </x:si>
  <x:si>
    <x:t xml:space="preserve">F1 → A test scope section naming the model, tool and retrieval components.
F2 → A test dated after the most recent architectural change.
F3 → An enforcement point outside the model — an allowlist, a schema check, a policy layer — with evidence of operation.
F4 → An acceptance record with a named acceptor and an expiry date.
F5 → A controlled injection test with the blocked result retained.
F6 → A design statement and runtime evidence separating instruction from data.</x:t>
  </x:si>
  <x:si>
    <x:t xml:space="preserve">none - no AI-specific security requirement, or no testing covering the AI components.
partial - requirements and testing exist but scope, currency, enforcement or finding disposition is not evidenced.
full - current independent testing covers the AI paths, the trust boundary is enforced outside the model, and findings are dispositioned with expiry.</x:t>
  </x:si>
  <x:si>
    <x:t xml:space="preserve">Archetype: security_resilience — DRAFT, requires second-line authoring and control-owner approval before authoritative use</x:t>
  </x:si>
  <x:si>
    <x:t xml:space="preserve">A.4.5</x:t>
  </x:si>
  <x:si>
    <x:t xml:space="preserve">System and computing resources</x:t>
  </x:si>
  <x:si>
    <x:t xml:space="preserve">Record the compute, storage, network and hosting environments (on-prem, cloud, edge) the system runs on, including capacity constraints, dependencies and environmental impact of the hardware.</x:t>
  </x:si>
  <x:si>
    <x:t xml:space="preserve">D1. Obtain the approved methodology and template for System and computing resources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</x:si>
  <x:si>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System and computing resources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</x:si>
  <x:si>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A.4.6</x:t>
  </x:si>
  <x:si>
    <x:t xml:space="preserve">Human resources</x:t>
  </x:si>
  <x:si>
    <x:t xml:space="preserve">Record the people and competencies involved across every phase: not just developers but operators, domain experts, testers, oversight roles, and change/handover/decommissioning roles.</x:t>
  </x:si>
  <x:si>
    <x:t xml:space="preserve">Play 11</x:t>
  </x:si>
  <x:si>
    <x:t xml:space="preserve">D1. Obtain the change or release procedure covering Human resources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</x:si>
  <x:si>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O1. Define the population from the deployment source — the pipeline, release log or runtime history — not from the change register, so changes made without a record can be found.
O2. Reconcile deployments to change records. Every deployment with no record is a finding.
O3. Sample changes across classes including at least one emergency and one model or prompt version change. Compare approval timestamp to implementation timestamp.
O4. Verify the approver was authorised for the class and is not the implementer.
O5. Trace a sample to post-implementation verification, and any backed-out change to its rollback record.
Operating verdict: EFFECTIVE when deployments reconcile to approved records, approvals precede implementation and verification occurred. PARTIALLY EFFECTIVE when records exist but timing, approver authority or verification is incomplete. INEFFECTIVE when unrecorded or unapproved production changes are found. NOT TESTABLE when the deployment population cannot be established independently.</x:t>
  </x:si>
  <x:si>
    <x:t xml:space="preserve">e1. An approved change or release procedure covering Human resources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</x:si>
  <x:si>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Population: all production deployments in the period, established from the deployment pipeline or runtime history. Evidence floor: a population taken only from the change register cannot detect unrecorded change — report NOT TESTABLE for completeness in that case.</x:t>
  </x:si>
  <x:si>
    <x:t xml:space="preserve">F1. Approval timestamp is after the deployment timestamp — the record documents the change rather than authorising it.
F2. The approver is the implementer, or sits outside the approval matrix for that class.
F3. The emergency route carries a material share of all changes, with no incident reference behind them.
F4. The change names the service but not the model or prompt version, so the artefact that actually changed is invisible.
F5. A change freeze was in force and the change proceeded with no documented exemption.
F6. Privileged sessions used to implement are not recorded, or do not reconcile to the named implementer.
F7. No post-implementation verification, so a difference between the approved plan and the deployed state would never surface.</x:t>
  </x:si>
  <x:si>
    <x:t xml:space="preserve">F1 → A change record whose approval timestamp precedes deployment, or an approved retrospective acceptance naming the exposure.
F2 → An approval matrix and a record showing an approver drawn from it, distinct from the implementer.
F3 → An emergency change register with incident references and a rate that can be explained.
F4 → A change record field holding the model and prompt version, populated for a sampled change.
F5 → A freeze exemption approved at the level the freeze policy requires.
F6 → A privileged session record reconciling to the change and the named implementer.
F7 → A post-implementation verification record comparing running state to approved state.</x:t>
  </x:si>
  <x:si>
    <x:t xml:space="preserve">none - no change control over the AI artefacts, or production changes with no record.
partial - change records exist but approval timing, approver authority, artefact versioning or post-implementation verification is not evidenced.
full - every deployment reconciles to a record approved in advance by an authorised, independent approver, with the artefact versions named and the deployed state verified.</x:t>
  </x:si>
  <x:si>
    <x:t xml:space="preserve">Archetype: change_release — DRAFT, requires second-line authoring and control-owner approval before authoritative use</x:t>
  </x:si>
  <x:si>
    <x:t xml:space="preserve">A.5 Assessing impacts of AI systems</x:t>
  </x:si>
  <x:si>
    <x:t xml:space="preserve">A.5.2</x:t>
  </x:si>
  <x:si>
    <x:t xml:space="preserve">AI system impact assessment process</x:t>
  </x:si>
  <x:si>
    <x:t xml:space="preserve">Stand up a repeatable process for assessing how an AI system could affect people and society: triggers (criticality, complexity, sensitivity), scope, who performs it, and how outputs feed design/deployment/review.</x:t>
  </x:si>
  <x:si>
    <x:t xml:space="preserve">Play 1, 2</x:t>
  </x:si>
  <x:si>
    <x:t xml:space="preserve">D1. Obtain the approved methodology and template for AI system impact assessment process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</x:si>
  <x:si>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AI system impact assessment process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</x:si>
  <x:si>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A.5.3</x:t>
  </x:si>
  <x:si>
    <x:t xml:space="preserve">Documentation of AI system impact assessments</x:t>
  </x:si>
  <x:si>
    <x:t xml:space="preserve">Keep written records of every impact assessment (intended use, foreseeable misuse, predictable failures and mitigations, affected groups, oversight arrangements) and retain them for a defined period.</x:t>
  </x:si>
  <x:si>
    <x:t xml:space="preserve">Play 2</x:t>
  </x:si>
  <x:si>
    <x:t xml:space="preserve">D1. Obtain the approved methodology and template for Documentation of AI system impact assessments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</x:si>
  <x:si>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Documentation of AI system impact assessments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</x:si>
  <x:si>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A.5.4</x:t>
  </x:si>
  <x:si>
    <x:t xml:space="preserve">Assessing AI system impact on individuals or groups of individuals</x:t>
  </x:si>
  <x:si>
    <x:t xml:space="preserve">Consider how the system could affect individuals or groups: fairness, accountability, transparency, privacy, safety, health, accessibility, financial and human-rights consequences, with attention to protected groups.</x:t>
  </x:si>
  <x:si>
    <x:t xml:space="preserve">D1. Obtain the approved methodology and template for Assessing AI system impact on individuals or groups of individuals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</x:si>
  <x:si>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Assessing AI system impact on individuals or groups of individuals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</x:si>
  <x:si>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A.5.5</x:t>
  </x:si>
  <x:si>
    <x:t xml:space="preserve">Assessing societal impacts of AI systems</x:t>
  </x:si>
  <x:si>
    <x:t xml:space="preserve">Extend the assessment beyond direct users: environmental footprint, economic impact, effects on democratic/government processes, public health and safety, cultural/ethical norms and potential for deliberate misuse.</x:t>
  </x:si>
  <x:si>
    <x:t xml:space="preserve">D1. Obtain the approved methodology and template for Assessing societal impacts of AI systems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</x:si>
  <x:si>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Assessing societal impacts of AI systems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</x:si>
  <x:si>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A.6 AI system life cycle</x:t>
  </x:si>
  <x:si>
    <x:t xml:space="preserve">A.6.1.2</x:t>
  </x:si>
  <x:si>
    <x:t xml:space="preserve">Objectives for responsible development of AI system</x:t>
  </x:si>
  <x:si>
    <x:t xml:space="preserve">Set clear responsible-development objectives (fairness, transparency, robustness, privacy, safety) and bake them into development as measurable design inputs teams are accountable to.</x:t>
  </x:si>
  <x:si>
    <x:t xml:space="preserve">Model Developer / Indep. Validation</x:t>
  </x:si>
  <x:si>
    <x:t xml:space="preserve">D1. Obtain the approved terms of reference, mandate or charter covering Objectives for responsible development of AI system,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</x:si>
  <x:si>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Objectives for responsible development of AI system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</x:si>
  <x:si>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A.6.1.3</x:t>
  </x:si>
  <x:si>
    <x:t xml:space="preserve">Processes for responsible design and development of AI systems</x:t>
  </x:si>
  <x:si>
    <x:t xml:space="preserve">Document the actual steps for responsible design/build: life cycle stages, testing requirements, human oversight, training-data rules, release criteria, approvals, change control and stakeholder engagement.</x:t>
  </x:si>
  <x:si>
    <x:t xml:space="preserve">D1. Obtain the change or release procedure covering Processes for responsible design and development of AI systems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</x:si>
  <x:si>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Processes for responsible design and development of AI systems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</x:si>
  <x:si>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A.6.2.2</x:t>
  </x:si>
  <x:si>
    <x:t xml:space="preserve">AI system requirements and specification</x:t>
  </x:si>
  <x:si>
    <x:t xml:space="preserve">Capture functional and non-functional requirements (including risk and responsible-AI requirements) before building, document rationale, and keep requirements under change control as the system evolves.</x:t>
  </x:si>
  <x:si>
    <x:t xml:space="preserve">Play 3</x:t>
  </x:si>
  <x:si>
    <x:t xml:space="preserve">D1. Obtain the change or release procedure covering AI system requirements and specification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</x:si>
  <x:si>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AI system requirements and specification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</x:si>
  <x:si>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A.6.2.3</x:t>
  </x:si>
  <x:si>
    <x:t xml:space="preserve">Documentation of AI system design and development</x:t>
  </x:si>
  <x:si>
    <x:t xml:space="preserve">Maintain a traceable record of design decisions (ML approach, algorithms, data assumptions, components, security threats, UI, human interaction, interoperability) tied back to requirements.</x:t>
  </x:si>
  <x:si>
    <x:t xml:space="preserve">D1. Obtain the security or resilience requirement covering Documentation of AI system design and development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x:t>
  </x:si>
  <x:si>
    <x:t xml:space="preserve">e1. Security or resilience requirements covering Documentation of AI system design and development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x:t>
  </x:si>
  <x:si>
    <x:t xml:space="preserve">A.6.2.4</x:t>
  </x:si>
  <x:si>
    <x:t xml:space="preserve">AI system verification and validation</x:t>
  </x:si>
  <x:si>
    <x:t xml:space="preserve">Define how the system is verified (built right) and validated (built the right thing): testing methodologies, test-data selection, release-criteria thresholds and acceptable error rates for the use case.</x:t>
  </x:si>
  <x:si>
    <x:t xml:space="preserve">Play 3, 8</x:t>
  </x:si>
  <x:si>
    <x:t xml:space="preserve">D1. Obtain the approved validation or evaluation methodology for AI system verification and validation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</x:si>
  <x:si>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O1. Define the population: every model, prompt or agent version promoted in the period.
O2. For a sample, obtain the validation report and check it covers the version actually deployed — compare version identifiers and dates, not titles.
O3. Reperform or recompute at least one reported metric from the underlying results where the data permits.
O4. Trace every shortfall against threshold to a remediation, a re-test or an approved acceptance by a role with authority to grant it.
Operating verdict: EFFECTIVE when each deployed version has independent validation against pre-stated thresholds and shortfalls are dispositioned. PARTIALLY EFFECTIVE when validation exists but is stale, non-independent or partly unevidenced. INEFFECTIVE when versions reached production unvalidated. NOT TESTABLE when the version population or the underlying results are unavailable.</x:t>
  </x:si>
  <x:si>
    <x:t xml:space="preserve">e1. An approved validation or evaluation method for AI system verification and validation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</x:si>
  <x:si>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Population: all model, prompt or agent versions promoted in the period. Evidence floor: fewer than 1 validated version in the period, or reports with no version identifier, makes the operating result NOT TESTABLE.</x:t>
  </x:si>
  <x:si>
    <x:t xml:space="preserve">F1. The validation report predates the deployed version — it validates the model that was tested, not the one that is running.
F2. The validator sits in the same reporting line as the builder, so 'independent review' is a signature rather than a challenge.
F3. The acceptance threshold was chosen after the result was known, which makes a pass unfalsifiable.
F4. The test set overlaps the tuning or training data, so the reported score measures memorisation.
F5. A metric is reported with no sample size, so a favourable number may rest on a handful of cases.
F6. Only aggregate performance is reported — no slice, subgroup or worst-case analysis where the control requires it.</x:t>
  </x:si>
  <x:si>
    <x:t xml:space="preserve">F1 → A validation report whose version identifier matches the deployed artefact, or a re-validation of the current version.
F2 → A validation performed or signed by a function outside the delivery reporting line, with the reviewer named.
F3 → A pre-registered threshold — an approved test plan dated before the test run.
F4 → A statement of dataset provenance and separation, or a held-out set with documented construction.
F5 → Reported metrics with denominators and confidence, or the underlying result file.
F6 → Slice-level results for the populations the control names.</x:t>
  </x:si>
  <x:si>
    <x:t xml:space="preserve">none - no validation, or a report with no acceptance criteria and no independence.
partial - validation was performed but is stale against the deployed version, not independent, or thresholds and shortfall disposition are not evidenced.
full - the deployed version was independently validated against pre-stated thresholds, with retained results and every shortfall remediated or formally accepted.</x:t>
  </x:si>
  <x:si>
    <x:t xml:space="preserve">Archetype: validation_evaluation — DRAFT, requires second-line authoring and control-owner approval before authoritative use</x:t>
  </x:si>
  <x:si>
    <x:t xml:space="preserve">A.6.2.5</x:t>
  </x:si>
  <x:si>
    <x:t xml:space="preserve">AI system deployment</x:t>
  </x:si>
  <x:si>
    <x:t xml:space="preserve">Maintain a written deployment plan with release criteria, approvals and rollback; do not release until satisfied, especially when the deployment environment differs from development.</x:t>
  </x:si>
  <x:si>
    <x:t xml:space="preserve">Play 4</x:t>
  </x:si>
  <x:si>
    <x:t xml:space="preserve">D1. Obtain the change or release procedure covering AI system deployment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</x:si>
  <x:si>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AI system deployment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</x:si>
  <x:si>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A.6.2.6</x:t>
  </x:si>
  <x:si>
    <x:t xml:space="preserve">AI system operation and monitoring</x:t>
  </x:si>
  <x:si>
    <x:t xml:space="preserve">Define day-to-day running: performance monitoring (incl. drift, continuous-learning changes, AI-specific threats like data poisoning), repairs, updates and user support, each with clear ownership.</x:t>
  </x:si>
  <x:si>
    <x:t xml:space="preserve">Play 5, 6, 9</x:t>
  </x:si>
  <x:si>
    <x:t xml:space="preserve">D1. Obtain the monitoring design for AI system operation and monitoring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</x:si>
  <x:si>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O1. Obtain the monitoring output for the full period, with coverage gaps identified — periods with no data are findings, not blanks.
O2. Verify the configuration in force matches the approved design, read from the running configuration rather than from a document.
O3. Sample alerts raised and trace each to an owner, a response within the stated time and a disposition.
O4. Where no alert fired in the period, test the detector — a synthetic breach, a back-test against a known past event, or an equivalent.
Operating verdict: EFFECTIVE when monitoring ran continuously against the approved thresholds and alerts were dispositioned. PARTIALLY EFFECTIVE when coverage gaps exist or alerts closed without disposition. INEFFECTIVE when monitoring was not operating or breaches were not acted on. NOT TESTABLE when monitoring output for the period is unavailable.</x:t>
  </x:si>
  <x:si>
    <x:t xml:space="preserve">e1. Metrics and thresholds for AI system operation and monitoring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</x:si>
  <x:si>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Population: the full monitoring period, plus all alerts raised. Evidence floor: no alerts in the period and no detector test means silence is uninformative — report NOT TESTABLE rather than PASS.</x:t>
  </x:si>
  <x:si>
    <x:t xml:space="preserve">F1. No alert fired all period and this is presented as evidence of health, with nothing showing the detector works.
F2. Thresholds in the running configuration differ from the approved design, usually loosened after a noisy week.
F3. Alerts are routed to a shared channel with no named owner, and closure is by silence.
F4. Monitoring covers latency and uptime while the control is about model quality, drift or mandate breach.
F5. Coverage has gaps that coincide with the periods of highest change.
F6. Drift is monitored on inputs only, with no monitoring of the outcome the model drives.</x:t>
  </x:si>
  <x:si>
    <x:t xml:space="preserve">F1 → A detector test, synthetic breach or back-test against a known past event.
F2 → An export of the running configuration compared to the approved baseline, with any deviation approved.
F3 → An alert record naming a recipient, a response time and a disposition.
F4 → A metric definition tied to the control objective, with at least one period of output.
F5 → A continuous coverage statement with gaps explained and dispositioned.
F6 → Output-side monitoring covering the decisions or actions the system produced.</x:t>
  </x:si>
  <x:si>
    <x:t xml:space="preserve">none - no monitoring, or monitoring with no thresholds and no owner.
partial - monitoring is configured and running but coverage, alert disposition or detector assurance is incomplete, or the metrics are proxies for the risk rather than the risk.
full - approved metrics ran continuously, alerts were owned and dispositioned, and the detector is demonstrably capable of firing.</x:t>
  </x:si>
  <x:si>
    <x:t xml:space="preserve">Archetype: monitoring_detection — DRAFT, requires second-line authoring and control-owner approval before authoritative use</x:t>
  </x:si>
  <x:si>
    <x:t xml:space="preserve">A.6.2.7</x:t>
  </x:si>
  <x:si>
    <x:t xml:space="preserve">AI system technical documentation</x:t>
  </x:si>
  <x:si>
    <x:t xml:space="preserve">Decide what technical documentation each audience (users, partners, auditors, regulators) needs and deliver it usably: intended purpose, usage instructions, run-time assumptions, limitations, monitoring functions.</x:t>
  </x:si>
  <x:si>
    <x:t xml:space="preserve">D1. Obtain the monitoring design for AI system technical documentation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</x:si>
  <x:si>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AI system technical documentation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</x:si>
  <x:si>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A.6.2.8</x:t>
  </x:si>
  <x:si>
    <x:t xml:space="preserve">AI system recording of event logs</x:t>
  </x:si>
  <x:si>
    <x:t xml:space="preserve">Decide what events get logged and at which stages (at minimum during operation) to evidence behaviour, trace issues, support audit/incident response and detect drift outside intended conditions.</x:t>
  </x:si>
  <x:si>
    <x:t xml:space="preserve">D1. Obtain the logging or traceability design for AI system recording of event logs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x:t>
  </x:si>
  <x:si>
    <x:t xml:space="preserve">O1. Select a specific past event — an incident, a material decision or a random production action — and attempt reconstruction end to end from the logs alone.
O2. Verify completeness across the period: sampling intervals, volumes and any interruption in capture.
O3. Test integrity: confirm access to amend is restricted and inspect any amendment record.
O4. Test retrieval against the stated time and confirm records at the oldest end of the retention window are still retrievable.
Operating verdict: EFFECTIVE when a real event can be reconstructed from retained records within the stated time. PARTIALLY EFFECTIVE when reconstruction succeeds with gaps or manual supplementation. INEFFECTIVE when the event cannot be reconstructed. NOT TESTABLE when no suitable event exists in the period.</x:t>
  </x:si>
  <x:si>
    <x:t xml:space="preserve">e1. A logging or traceability design covering AI system recording of event logs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x:t>
  </x:si>
  <x:si>
    <x:t xml:space="preserve">Population: the logged record set for the period, plus at least one real event selected for reconstruction. Evidence floor: no reconstruction attempt makes the operating result NOT TESTABLE — the existence of logs is a design fact, not an operating one.</x:t>
  </x:si>
  <x:si>
    <x:t xml:space="preserve">F1. Logs exist but hold no version identifier, so it is impossible to say which model or prompt produced the output.
F2. The acting identity is a shared service account for every action, so attribution stops at the platform.
F3. Reconstruction requires a person's recollection or a chat thread to fill the gap between records.
F4. Retention is set below the obligation, or the oldest records are technically retained but not retrievable.
F5. Administrators can amend the records with no separate audit of the amendment.
F6. Prompt and tool-call content is not captured, so only the outcome is visible and not the reasoning path.</x:t>
  </x:si>
  <x:si>
    <x:t xml:space="preserve">F1 → A log schema including model, prompt and configuration version, with a populated example.
F2 → Per-actor identity in the record, or a documented mapping from service account to the initiating human or agent.
F3 → A reconstruction walkthrough of a real event using only retained records.
F4 → A retention configuration matching the obligation and a successful retrieval from the oldest window.
F5 → An access review of amendment rights plus an immutable or separately audited amendment trail.
F6 → Captured prompt and tool-call records for a sampled action.</x:t>
  </x:si>
  <x:si>
    <x:t xml:space="preserve">none - no logging, or logging that cannot attribute an action to a system, version or identity.
partial - logging operates but reconstruction requires supplementation, or integrity and retention are not evidenced.
full - a real event has been reconstructed end to end from retained, integrity-protected records within the stated retrieval time.</x:t>
  </x:si>
  <x:si>
    <x:t xml:space="preserve">Archetype: logging_traceability — DRAFT, requires second-line authoring and control-owner approval before authoritative use</x:t>
  </x:si>
  <x:si>
    <x:t xml:space="preserve">A.7 Data for AI systems</x:t>
  </x:si>
  <x:si>
    <x:t xml:space="preserve">A.7.2</x:t>
  </x:si>
  <x:si>
    <x:t xml:space="preserve">Data for development and enhancement of AI system</x:t>
  </x:si>
  <x:si>
    <x:t xml:space="preserve">Operate data-management processes for development data: privacy and security, representativeness against the operational domain, explainability/provenance, and accuracy/integrity of underlying data.</x:t>
  </x:si>
  <x:si>
    <x:t xml:space="preserve">D1. Obtain the data requirement covering Data for development and enhancement of AI system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x:t>
  </x:si>
  <x:si>
    <x:t xml:space="preserve">e1. In-scope data sources for Data for development and enhancement of AI system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x:t>
  </x:si>
  <x:si>
    <x:t xml:space="preserve">A.7.3</x:t>
  </x:si>
  <x:si>
    <x:t xml:space="preserve">Acquisition of data</x:t>
  </x:si>
  <x:si>
    <x:t xml:space="preserve">Document where each dataset comes from and how it was chosen (internal/purchased/shared/open/synthetic, static/streamed), known biases, data rights, prior uses and metadata, so downstream decisions are defensible.</x:t>
  </x:si>
  <x:si>
    <x:t xml:space="preserve">D1. Obtain the approved validation or evaluation methodology for Acquisition of data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</x:si>
  <x:si>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Acquisition of data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</x:si>
  <x:si>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A.7.4</x:t>
  </x:si>
  <x:si>
    <x:t xml:space="preserve">Quality of data for AI systems</x:t>
  </x:si>
  <x:si>
    <x:t xml:space="preserve">Set explicit data-quality criteria (accuracy, completeness, currency, representativeness), verify training and production data meet them, and address fairness/bias impact, adjusting data or model as needed.</x:t>
  </x:si>
  <x:si>
    <x:t xml:space="preserve">D1. Obtain the approved validation or evaluation methodology for Quality of data for AI systems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</x:si>
  <x:si>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Quality of data for AI systems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</x:si>
  <x:si>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A.7.5</x:t>
  </x:si>
  <x:si>
    <x:t xml:space="preserve">Data provenance</x:t>
  </x:si>
  <x:si>
    <x:t xml:space="preserve">Track where each dataset came from and what happened to it (creation, updates, transformations, validation, transfers, sharing) across the data and system life cycles so lineage stays recoverable.</x:t>
  </x:si>
  <x:si>
    <x:t xml:space="preserve">D1. Obtain the logging or traceability design for Data provenance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x:t>
  </x:si>
  <x:si>
    <x:t xml:space="preserve">e1. A logging or traceability design covering Data provenance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x:t>
  </x:si>
  <x:si>
    <x:t xml:space="preserve">A.7.6</x:t>
  </x:si>
  <x:si>
    <x:t xml:space="preserve">Data preparation</x:t>
  </x:si>
  <x:si>
    <x:t xml:space="preserve">Decide which data-preparation techniques (cleaning, labelling, augmentation, normalisation, encoding) are acceptable, document the methods chosen per dataset and record the rationale so choices can be reviewed/repeated.</x:t>
  </x:si>
  <x:si>
    <x:t xml:space="preserve">D1. Obtain the data requirement covering Data preparation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x:t>
  </x:si>
  <x:si>
    <x:t xml:space="preserve">e1. In-scope data sources for Data preparation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x:t>
  </x:si>
  <x:si>
    <x:t xml:space="preserve">A.8 Information for interested parties</x:t>
  </x:si>
  <x:si>
    <x:t xml:space="preserve">A.8.2</x:t>
  </x:si>
  <x:si>
    <x:t xml:space="preserve">System documentation and information for users</x:t>
  </x:si>
  <x:si>
    <x:t xml:space="preserve">Give users enough information to operate the system safely and responsibly: capabilities, limits, expected inputs/outputs, known failure modes and human-oversight options, in plain language.</x:t>
  </x:si>
  <x:si>
    <x:t xml:space="preserve">D1. Obtain the definition of the authority boundary for System documentation and information for users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</x:si>
  <x:si>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O1. Obtain the enforced configuration as at a date and compare it, field by field, to the approved boundary.
O2. Define the population of granted access or mandate holders, and reconcile it to the approved grants — in the direction of finding grants nobody approved.
O3. Sample boundary events in the period: blocks, referrals and overrides. Trace each override to an approver with authority and a recorded reason.
O4. Where no boundary event occurred, test the enforcement — a controlled attempt or an equivalent assurance that the limit binds.
O5. Inspect the most recent recertification for completeness and for revocations actually taking effect.
Operating verdict: EFFECTIVE when enforced limits match approved limits, overrides are approved and recertification took effect. PARTIALLY EFFECTIVE when the boundary holds but grants are stale or overrides are unevidenced. INEFFECTIVE when unapproved authority is found in production. NOT TESTABLE when the enforced configuration cannot be obtained.</x:t>
  </x:si>
  <x:si>
    <x:t xml:space="preserve">e1. The authority boundary for System documentation and information for users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</x:si>
  <x:si>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Population: the enforced configuration plus all grants and all boundary events in the period. Evidence floor: no enforced configuration export, or zero boundary events with no enforcement test, makes the operating result NOT TESTABLE.</x:t>
  </x:si>
  <x:si>
    <x:t xml:space="preserve">F1. The limit is in a policy document and nowhere in the running system, so nothing stops the action.
F2. The enforced value is more permissive than the approved value, changed by a ticket that never reached the approver.
F3. Overrides are recorded but the approver is the same identity that requested the action.
F4. Recertification was completed as an attestation with no revocations, across a population where joiners and leavers certainly occurred.
F5. The agent holds standing credentials broader than its mandate because the mandate is enforced at the orchestration layer and the credential is not.
F6. Limits bind per transaction but not in aggregate, so the boundary is passable by repetition.</x:t>
  </x:si>
  <x:si>
    <x:t xml:space="preserve">F1 → An export of the enforced configuration or policy object showing the limit in force.
F2 → A reconciliation of enforced versus approved values with any deviation approved retrospectively.
F3 → An override record naming a distinct approver and the reason.
F4 → A recertification with revocation evidence at the target system, not only the sign-off sheet.
F5 → An entitlement review of the credential itself, scoped to the mandate.
F6 → An aggregate or cumulative limit in the enforced configuration, with evidence of its operation.</x:t>
  </x:si>
  <x:si>
    <x:t xml:space="preserve">none - no defined boundary, or authority granted with no approval.
partial - the boundary is defined and approved but enforcement, override discipline or recertification is not evidenced.
full - the enforced boundary matches the approved boundary, overrides are independently approved with reasons, and recertification demonstrably revokes.</x:t>
  </x:si>
  <x:si>
    <x:t xml:space="preserve">Archetype: access_authority — DRAFT, requires second-line authoring and control-owner approval before authoritative use</x:t>
  </x:si>
  <x:si>
    <x:t xml:space="preserve">A.8.3</x:t>
  </x:si>
  <x:si>
    <x:t xml:space="preserve">External reporting</x:t>
  </x:si>
  <x:si>
    <x:t xml:space="preserve">Provide a way for anyone affected (customers, data subjects, public) to report problems, complaints or unintended consequences, and define how reports are triaged, investigated and resolved.</x:t>
  </x:si>
  <x:si>
    <x:t xml:space="preserve">D1. Obtain the approved methodology and template for External reporting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</x:si>
  <x:si>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External reporting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</x:si>
  <x:si>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A.8.4</x:t>
  </x:si>
  <x:si>
    <x:t xml:space="preserve">Communication of incidents</x:t>
  </x:si>
  <x:si>
    <x:t xml:space="preserve">Plan in advance how to inform users and affected parties when an AI incident occurs: what to say, who says it, how fast and through what channel, aligned with regulatory notification obligations.</x:t>
  </x:si>
  <x:si>
    <x:t xml:space="preserve">Play 6, 11</x:t>
  </x:si>
  <x:si>
    <x:t xml:space="preserve">D1. Obtain the incident or escalation procedure covering Communication of incidents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</x:si>
  <x:si>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Communication of incidents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</x:si>
  <x:si>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A.8.5</x:t>
  </x:si>
  <x:si>
    <x:t xml:space="preserve">Information for interested parties</x:t>
  </x:si>
  <x:si>
    <x:t xml:space="preserve">Decide what other AI-system information (beyond incidents) must be proactively shared with regulators, partners, customers and the public, and document how, when and in what form.</x:t>
  </x:si>
  <x:si>
    <x:t xml:space="preserve">D1. Obtain the incident or escalation procedure covering Information for interested parties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</x:si>
  <x:si>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Information for interested parties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</x:si>
  <x:si>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A.9 Use of AI systems</x:t>
  </x:si>
  <x:si>
    <x:t xml:space="preserve">A.9.2</x:t>
  </x:si>
  <x:si>
    <x:t xml:space="preserve">Processes for responsible use of AI systems</x:t>
  </x:si>
  <x:si>
    <x:t xml:space="preserve">Document how the system is meant to be used responsibly: human-oversight expectations, acceptable-use rules, escalation paths, operator training and conditions under which use is paused or stopped.</x:t>
  </x:si>
  <x:si>
    <x:t xml:space="preserve">D1. Obtain the incident or escalation procedure covering Processes for responsible use of AI systems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</x:si>
  <x:si>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Processes for responsible use of AI systems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</x:si>
  <x:si>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A.9.3</x:t>
  </x:si>
  <x:si>
    <x:t xml:space="preserve">Objectives for responsible use of AI system</x:t>
  </x:si>
  <x:si>
    <x:t xml:space="preserve">Define responsible-use objectives the system is operated against (fairness thresholds, human-in-the-loop requirements, safety tolerances) so operational decisions have a clear reference.</x:t>
  </x:si>
  <x:si>
    <x:t xml:space="preserve">Play 4, 11</x:t>
  </x:si>
  <x:si>
    <x:t xml:space="preserve">D1. Obtain the approved validation or evaluation methodology for Objectives for responsible use of AI system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</x:si>
  <x:si>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Objectives for responsible use of AI system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</x:si>
  <x:si>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A.9.4</x:t>
  </x:si>
  <x:si>
    <x:t xml:space="preserve">Intended use of the AI system</x:t>
  </x:si>
  <x:si>
    <x:t xml:space="preserve">Prevent scope creep: ensure the system is used for its designed purpose, with controls that stop it being repurposed, extended or used in unintended contexts without re-assessment.</x:t>
  </x:si>
  <x:si>
    <x:t xml:space="preserve">D1. Obtain the approved methodology and template for Intended use of the AI system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</x:si>
  <x:si>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Intended use of the AI system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</x:si>
  <x:si>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A.10 Third-party and customer relationships</x:t>
  </x:si>
  <x:si>
    <x:t xml:space="preserve">A.10.2</x:t>
  </x:si>
  <x:si>
    <x:t xml:space="preserve">Allocation of responsibilities</x:t>
  </x:si>
  <x:si>
    <x:t xml:space="preserve">Make explicit who is responsible for what across the AI supply chain (organisation, suppliers, partners, customers, third parties) so there are no accountability gaps across the life cycle.</x:t>
  </x:si>
  <x:si>
    <x:t xml:space="preserve">Procurement + AI Risk</x:t>
  </x:si>
  <x:si>
    <x:t xml:space="preserve">Play 7</x:t>
  </x:si>
  <x:si>
    <x:t xml:space="preserve">D1. Obtain the third-party requirements covering Allocation of responsibilities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</x:si>
  <x:si>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O1. Define the population of AI-relevant third parties in the period from procurement or vendor-management data, including products with embedded AI, not only AI vendors.
O2. Sample and verify a completed assessment dated before contract signature or before first production use.
O3. Verify the required clauses are present in the executed contract, read from the contract rather than the checklist.
O4. Verify ongoing obligations operated — reassessment at cadence, assurance reports obtained and reviewed with findings dispositioned, and provider change notifications acted on.
Operating verdict: EFFECTIVE when assessments preceded use, clauses are present and ongoing obligations ran. PARTIALLY EFFECTIVE when onboarding was controlled but ongoing oversight is unevidenced. INEFFECTIVE when material providers were onboarded unassessed. NOT TESTABLE when the vendor population cannot be established.</x:t>
  </x:si>
  <x:si>
    <x:t xml:space="preserve">e1. Third-party requirements covering Allocation of responsibilities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</x:si>
  <x:si>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Population: all AI-relevant third parties and AI-embedded products in use during the period, from procurement or vendor-management data. Evidence floor: a vendor list supplied by the assessed team without procurement reconciliation makes the completeness result NOT TESTABLE.</x:t>
  </x:si>
  <x:si>
    <x:t xml:space="preserve">F1. The provider was assessed as a software vendor before the AI feature was enabled, and never reassessed when it was.
F2. The assessment is dated after contract signature, so it recorded a decision already taken.
F3. The contract references an assurance report that was never obtained, or one that excludes the AI component from scope.
F4. Sub-processors are named in the provider's terms but were never assessed.
F5. Provider change notifications arrive but there is no route by which they reach the control owner.
F6. The provider's own model changes silently under a continuously updated service, with no version pinning and no notification right.</x:t>
  </x:si>
  <x:si>
    <x:t xml:space="preserve">F1 → A reassessment triggered by the AI feature being enabled.
F2 → An assessment record dated before signature, or an approved exception.
F3 → The assurance report itself, with its scope section showing the AI component in scope.
F4 → A sub-processor list with assessment status.
F5 → A routing record showing a provider notification reaching and being actioned by the control owner.
F6 → A version-pinning or change-notification clause and evidence of it operating.</x:t>
  </x:si>
  <x:si>
    <x:t xml:space="preserve">none - no third-party assessment for AI providers, or providers in production with no assessment.
partial - onboarding diligence occurred but contractual rights, sub-processor scope or ongoing oversight is not evidenced.
full - assessments preceded use, required clauses are present in executed contracts, and ongoing oversight operated with findings dispositioned.</x:t>
  </x:si>
  <x:si>
    <x:t xml:space="preserve">Archetype: third_party — DRAFT, requires second-line authoring and control-owner approval before authoritative use</x:t>
  </x:si>
  <x:si>
    <x:t xml:space="preserve">A.10.3</x:t>
  </x:si>
  <x:si>
    <x:t xml:space="preserve">Suppliers</x:t>
  </x:si>
  <x:si>
    <x:t xml:space="preserve">Vet and manage suppliers of AI services, data, models and tooling against responsible-AI expectations via due diligence, contracts, assessments and ongoing oversight.</x:t>
  </x:si>
  <x:si>
    <x:t xml:space="preserve">D1. Obtain the third-party requirements covering Suppliers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</x:si>
  <x:si>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e1. Third-party requirements covering Suppliers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</x:si>
  <x:si>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A.10.4</x:t>
  </x:si>
  <x:si>
    <x:t xml:space="preserve">Customers</x:t>
  </x:si>
  <x:si>
    <x:t xml:space="preserve">Factor customer obligations (contracts, regulatory promises, duty of care, trust commitments) into the responsible-AI approach before decisions about development, provision or use are finalised.</x:t>
  </x:si>
  <x:si>
    <x:t xml:space="preserve">D1. Obtain the third-party requirements covering Customers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</x:si>
  <x:si>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e1. Third-party requirements covering Customers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</x:si>
  <x:si>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Control Library - NIST AI RMF — Control Tracker</x:t>
  </x:si>
  <x:si>
    <x:t xml:space="preserve">Function</x:t>
  </x:si>
  <x:si>
    <x:t xml:space="preserve">Category</x:t>
  </x:si>
  <x:si>
    <x:t xml:space="preserve">Category statement</x:t>
  </x:si>
  <x:si>
    <x:t xml:space="preserve">Subcategory</x:t>
  </x:si>
  <x:si>
    <x:t xml:space="preserve">Subcategory outcome</x:t>
  </x:si>
  <x:si>
    <x:t xml:space="preserve">GOVERN</x:t>
  </x:si>
  <x:si>
    <x:t xml:space="preserve">GOVERN 1</x:t>
  </x:si>
  <x:si>
    <x:t xml:space="preserve">Policies, processes, procedures and practices across the organization related to the mapping, measuring and managing of AI risks are in place, transparent, and implemented effectively.</x:t>
  </x:si>
  <x:si>
    <x:t xml:space="preserve">GOVERN 1.1</x:t>
  </x:si>
  <x:si>
    <x:t xml:space="preserve">Legal and regulatory requirements involving AI are understood, managed, and documented.</x:t>
  </x:si>
  <x:si>
    <x:t xml:space="preserve">AI Risk Cttee / Senior Mgmt</x:t>
  </x:si>
  <x:si>
    <x:t xml:space="preserve">D1. Obtain the approved policy or standard covering Legal and regulatory requirements involving AI are understood, managed, and documented,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</x:si>
  <x:si>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Legal and regulatory requirements involving AI are understood, managed, and documented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</x:si>
  <x:si>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GOVERN 1.2</x:t>
  </x:si>
  <x:si>
    <x:t xml:space="preserve">The characteristics of trustworthy AI are integrated into organizational policies, processes, procedures, and practices.</x:t>
  </x:si>
  <x:si>
    <x:t xml:space="preserve">D1. Obtain the approved policy or standard covering The characteristics of trustworthy AI are integrated into organizational policies, processes, procedures, and practices,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</x:si>
  <x:si>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The characteristics of trustworthy AI are integrated into organizational policies, processes, procedures, and practices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</x:si>
  <x:si>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GOVERN 1.3</x:t>
  </x:si>
  <x:si>
    <x:t xml:space="preserve">Processes, procedures and practices are in place to determine the needed level of risk management activities based on the organization's risk tolerance.</x:t>
  </x:si>
  <x:si>
    <x:t xml:space="preserve">D1. Obtain the approved terms of reference, mandate or charter covering Processes, procedures and practices are in place to determine the needed level of risk management activities based on the organization's risk tolerance,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</x:si>
  <x:si>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Processes, procedures and practices are in place to determine the needed level of risk management activities based on the organization's risk tolerance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</x:si>
  <x:si>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GOVERN 1.4</x:t>
  </x:si>
  <x:si>
    <x:t xml:space="preserve">The risk management process and its outcomes are established through transparent policies, procedures and other controls based on organizational risk priorities.</x:t>
  </x:si>
  <x:si>
    <x:t xml:space="preserve">D1. Obtain the approved policy or standard covering The risk management process and its outcomes are established through transparent policies, procedures and other controls based on organizational risk priorities,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</x:si>
  <x:si>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The risk management process and its outcomes are established through transparent policies, procedures and other controls based on organizational risk priorities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</x:si>
  <x:si>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GOVERN 1.5</x:t>
  </x:si>
  <x:si>
    <x:t xml:space="preserve">Ongoing monitoring and periodic review of the risk management process and its outcomes are planned, and organizational roles and responsibilities are clearly defined, including determining the frequency of periodic review.</x:t>
  </x:si>
  <x:si>
    <x:t xml:space="preserve">D1. Obtain the approved terms of reference, mandate or charter covering Ongoing monitoring and periodic review of the risk management process and its outcomes are planned, and organizational roles and responsibilities are clearly defined, including determining the frequency of periodic review,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</x:si>
  <x:si>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Ongoing monitoring and periodic review of the risk management process and its outcomes are planned, and organizational roles and responsibilities are clearly defined, including determining the frequency of periodic review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</x:si>
  <x:si>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GOVERN 1.6</x:t>
  </x:si>
  <x:si>
    <x:t xml:space="preserve">Mechanisms are in place to inventory AI systems and are resourced according to organizational risk priorities.</x:t>
  </x:si>
  <x:si>
    <x:t xml:space="preserve">D1. Obtain the register or inventory specification for Mechanisms are in place to inventory AI systems and are resourced according to organizational risk priorities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x:t>
  </x:si>
  <x:si>
    <x:t xml:space="preserve">O1. Obtain the full register extract as at a stated date, with a record count.
O2. Test completeness in the direction that can fail: reconcile from the independent source outward to the register, not register to itself. Use a deployment source, an access source or a cost or telemetry source.
O3. Test uniqueness and currency: duplicates, records with no owner, records whose status has not changed since creation, retired entries still active downstream.
O4. Sample records and trace each to real evidence of the thing it claims to describe.
Operating verdict: EFFECTIVE when reconciliation finds no unregistered items and sampled records are accurate and current. PARTIALLY EFFECTIVE when the register is broadly accurate but stale or incomplete in places. INEFFECTIVE when unregistered production items are found. NOT TESTABLE when no independent source is available to reconcile against.</x:t>
  </x:si>
  <x:si>
    <x:t xml:space="preserve">e1. A register covering Mechanisms are in place to inventory AI systems and are resourced according to organizational risk priorities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x:t>
  </x:si>
  <x:si>
    <x:t xml:space="preserve">Population: the full register extract plus the independent reconciliation source. Evidence floor: no independent source, or a register extract with no as-at date or record count, makes the completeness result NOT TESTABLE rather than PASS.</x:t>
  </x:si>
  <x:si>
    <x:t xml:space="preserve">F1. Completeness is tested register-to-register — the register is reconciled to a list derived from itself, which can never find an omission.
F2. Every record was created on the same date, indicating a one-off population exercise rather than an operating process.
F3. Owner fields hold a team mailbox or a departed individual.
F4. Retired records remain in an active state downstream — decommissioned in the register but still holding credentials or serving traffic.
F5. The register captures models but not the prompts, tools or agents that change behaviour without a model change.</x:t>
  </x:si>
  <x:si>
    <x:t xml:space="preserve">F1 → A reconciliation from an independent source — deployment pipeline, identity provider, cost report or runtime telemetry — with exceptions listed.
F2 → Evidence of incremental record creation over the period, or an approved backfill with a completeness statement.
F3 → An ownership attestation naming current individuals, dated within the cadence.
F4 → A decommissioning record showing downstream revocation, not only the register status change.
F5 → A field set covering the components that can change behaviour, with at least one example populated.</x:t>
  </x:si>
  <x:si>
    <x:t xml:space="preserve">none - no register, or a register with no unique identifier and no ownership.
partial - a register exists and is structurally adequate, but completeness has not been reconciled against an independent source, or material staleness is present.
full - the register is complete against an independent reconciliation, unique, owned and current, and sampled records trace to deployed reality.</x:t>
  </x:si>
  <x:si>
    <x:t xml:space="preserve">Archetype: register_inventory — DRAFT, requires second-line authoring and control-owner approval before authoritative use</x:t>
  </x:si>
  <x:si>
    <x:t xml:space="preserve">GOVERN 1.7</x:t>
  </x:si>
  <x:si>
    <x:t xml:space="preserve">Processes and procedures are in place for decommissioning and phasing out AI systems safely and in a manner that does not increase risks or decrease the organization's trustworthiness.</x:t>
  </x:si>
  <x:si>
    <x:t xml:space="preserve">Play 9</x:t>
  </x:si>
  <x:si>
    <x:t xml:space="preserve">D1. Obtain the change or release procedure covering Processes and procedures are in place for decommissioning and phasing out AI systems safely and in a manner that does not increase risks or decrease the organization's trustworthiness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</x:si>
  <x:si>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Processes and procedures are in place for decommissioning and phasing out AI systems safely and in a manner that does not increase risks or decrease the organization's trustworthiness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</x:si>
  <x:si>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GOVERN 2</x:t>
  </x:si>
  <x:si>
    <x:t xml:space="preserve">Accountability structures are in place so that the appropriate teams and individuals are empowered, responsible, and trained for mapping, measuring and managing AI risks.</x:t>
  </x:si>
  <x:si>
    <x:t xml:space="preserve">GOVERN 2.1</x:t>
  </x:si>
  <x:si>
    <x:t xml:space="preserve">Roles and responsibilities and lines of communication related to mapping, measuring and managing AI risks are documented and are clear to individuals and teams throughout the organization.</x:t>
  </x:si>
  <x:si>
    <x:t xml:space="preserve">D1. Obtain the approved terms of reference, mandate or charter covering Roles and responsibilities and lines of communication related to mapping, measuring and managing AI risks are documented and are clear to individuals and teams throughout the organization,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</x:si>
  <x:si>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Roles and responsibilities and lines of communication related to mapping, measuring and managing AI risks are documented and are clear to individuals and teams throughout the organization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</x:si>
  <x:si>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GOVERN 2.2</x:t>
  </x:si>
  <x:si>
    <x:t xml:space="preserve">The organization's personnel and partners receive AI risk management training to enable them to perform their duties and responsibilities consistent with related policies, procedures and agreements.</x:t>
  </x:si>
  <x:si>
    <x:t xml:space="preserve">D1. Obtain the approved policy or standard covering The organization's personnel and partners receive AI risk management training to enable them to perform their duties and responsibilities consistent with related policies, procedures and agreements,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</x:si>
  <x:si>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The organization's personnel and partners receive AI risk management training to enable them to perform their duties and responsibilities consistent with related policies, procedures and agreements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</x:si>
  <x:si>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GOVERN 2.3</x:t>
  </x:si>
  <x:si>
    <x:t xml:space="preserve">Executive leadership of the organization takes responsibility for decisions about risks associated with AI system development and deployment.</x:t>
  </x:si>
  <x:si>
    <x:t xml:space="preserve">D1. Obtain the change or release procedure covering Executive leadership of the organization takes responsibility for decisions about risks associated with AI system development and deployment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</x:si>
  <x:si>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Executive leadership of the organization takes responsibility for decisions about risks associated with AI system development and deployment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</x:si>
  <x:si>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GOVERN 3</x:t>
  </x:si>
  <x:si>
    <x:t xml:space="preserve">Workforce diversity, equity, inclusion and accessibility processes are prioritized in the mapping, measuring and managing of AI risks throughout the lifecycle.</x:t>
  </x:si>
  <x:si>
    <x:t xml:space="preserve">GOVERN 3.1</x:t>
  </x:si>
  <x:si>
    <x:t xml:space="preserve">Decision-making related to mapping, measuring and managing AI risks throughout the lifecycle is informed by a diverse team (e.g., diversity of demographics, disciplines, experience, expertise, and backgrounds).</x:t>
  </x:si>
  <x:si>
    <x:t xml:space="preserve">D1. Obtain the training or competency requirement covering Decision-making related to mapping, measuring and managing AI risks throughout the lifecycle is informed by a diverse team (e.g., diversity of demographics, disciplines, experience, expertise, and backgrounds)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x:t>
  </x:si>
  <x:si>
    <x:t xml:space="preserve">O1. Define the population from HR or entitlement data rather than from a training-system roster, so people who should have been enrolled and were not can be found.
O2. Measure completion against the population, with non-completions listed and dispositioned.
O3. Verify timing for joiners and role changers relative to the point they gained the authority.
O4. Where competence is assessed, inspect the assessment and the pass standard.
Operating verdict: EFFECTIVE when the in-scope population is complete and non-completions are dispositioned. PARTIALLY EFFECTIVE when completion is high but the population is drawn from the training system itself. INEFFECTIVE when decision-holding roles are untrained. NOT TESTABLE when the population cannot be established independently.</x:t>
  </x:si>
  <x:si>
    <x:t xml:space="preserve">e1. A training or competency requirement covering Decision-making related to mapping, measuring and managing AI risks throughout the lifecycle is informed by a diverse team (e.g., diversity of demographics, disciplines, experience, expertise, and backgrounds)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x:t>
  </x:si>
  <x:si>
    <x:t xml:space="preserve">Population: in-scope roles from HR or entitlement data. Evidence floor: a population taken from the training system roster cannot detect an omitted person — report NOT TESTABLE for completeness.</x:t>
  </x:si>
  <x:si>
    <x:t xml:space="preserve">F1. Completion is 100% of enrolled, and enrolment omitted part of the in-scope population.
F2. Training is generic AI awareness while the role's decisions require specific control knowledge.
F3. Joiners completed training months after taking on the reviewing authority.
F4. Completion is attendance with no assessment, so competence is assumed.
F5. Non-completion carries a stated consequence that has never been applied.</x:t>
  </x:si>
  <x:si>
    <x:t xml:space="preserve">F1 → A reconciliation from HR or entitlement data to the training roster.
F2 → A content outline mapped to the role's decisions.
F3 → Completion dates compared to role start dates.
F4 → An assessment with a pass standard and results.
F5 → Evidence of the consequence being applied, or an approved exception.</x:t>
  </x:si>
  <x:si>
    <x:t xml:space="preserve">none - no training requirement for roles with AI decision authority.
partial - training is required and delivered but population completeness, timing or competence measurement is not evidenced.
full - the independently established population is complete or dispositioned, training precedes authority and competence is assessed.</x:t>
  </x:si>
  <x:si>
    <x:t xml:space="preserve">Archetype: training_competency — DRAFT, requires second-line authoring and control-owner approval before authoritative use</x:t>
  </x:si>
  <x:si>
    <x:t xml:space="preserve">GOVERN 3.2</x:t>
  </x:si>
  <x:si>
    <x:t xml:space="preserve">Policies and procedures are in place to define and differentiate roles and responsibilities for human-AI configurations and oversight of AI systems.</x:t>
  </x:si>
  <x:si>
    <x:t xml:space="preserve">D1. Obtain the approved terms of reference, mandate or charter covering Policies and procedures are in place to define and differentiate roles and responsibilities for human-AI configurations and oversight of AI systems,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</x:si>
  <x:si>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Policies and procedures are in place to define and differentiate roles and responsibilities for human-AI configurations and oversight of AI systems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</x:si>
  <x:si>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GOVERN 4</x:t>
  </x:si>
  <x:si>
    <x:t xml:space="preserve">Organizational teams are committed to a culture that considers and communicates AI risk.</x:t>
  </x:si>
  <x:si>
    <x:t xml:space="preserve">GOVERN 4.1</x:t>
  </x:si>
  <x:si>
    <x:t xml:space="preserve">Organizational policies and practices are in place to foster a critical thinking and safety-first mindset in the design, development, deployment, and uses of AI systems to minimize potential negative impacts.</x:t>
  </x:si>
  <x:si>
    <x:t xml:space="preserve">D1. Obtain the approved policy or standard covering Organizational policies and practices are in place to foster a critical thinking and safety-first mindset in the design, development, deployment, and uses of AI systems to minimize potential negative impacts,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</x:si>
  <x:si>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Organizational policies and practices are in place to foster a critical thinking and safety-first mindset in the design, development, deployment, and uses of AI systems to minimize potential negative impacts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</x:si>
  <x:si>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GOVERN 4.2</x:t>
  </x:si>
  <x:si>
    <x:t xml:space="preserve">Organizational teams document the risks and potential impacts of the AI technology they design, develop, deploy, evaluate and use, and they communicate about the impacts more broadly.</x:t>
  </x:si>
  <x:si>
    <x:t xml:space="preserve">D1. Obtain the approved methodology and template for Organizational teams document the risks and potential impacts of the AI technology they design, develop, deploy, evaluate and use, and they communicate about the impacts more broadly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</x:si>
  <x:si>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Organizational teams document the risks and potential impacts of the AI technology they design, develop, deploy, evaluate and use, and they communicate about the impacts more broadly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</x:si>
  <x:si>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GOVERN 4.3</x:t>
  </x:si>
  <x:si>
    <x:t xml:space="preserve">Organizational practices are in place to enable AI testing, identification of incidents, and information sharing.</x:t>
  </x:si>
  <x:si>
    <x:t xml:space="preserve">D1. Obtain the approved validation or evaluation methodology for Organizational practices are in place to enable AI testing, identification of incidents, and information sharing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</x:si>
  <x:si>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Organizational practices are in place to enable AI testing, identification of incidents, and information sharing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</x:si>
  <x:si>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GOVERN 5</x:t>
  </x:si>
  <x:si>
    <x:t xml:space="preserve">Processes are in place for robust engagement with relevant AI actors.</x:t>
  </x:si>
  <x:si>
    <x:t xml:space="preserve">GOVERN 5.1</x:t>
  </x:si>
  <x:si>
    <x:t xml:space="preserve">Organizational policies and practices are in place to collect, consider, prioritize and integrate feedback from those external to the team that developed or deployed the AI system regarding the potential individual and societal impacts related to AI risks.</x:t>
  </x:si>
  <x:si>
    <x:t xml:space="preserve">D1. Obtain the approved policy or standard covering Organizational policies and practices are in place to collect, consider, prioritize and integrate feedback from those external to the team that developed or deployed the AI system regarding the potential individual and societal impacts related to AI risks,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</x:si>
  <x:si>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Organizational policies and practices are in place to collect, consider, prioritize and integrate feedback from those external to the team that developed or deployed the AI system regarding the potential individual and societal impacts related to AI risks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</x:si>
  <x:si>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GOVERN 5.2</x:t>
  </x:si>
  <x:si>
    <x:t xml:space="preserve">Mechanisms are established to enable the team that developed or deployed AI systems to regularly incorporate adjudicated feedback from relevant AI actors into system design and implementation.</x:t>
  </x:si>
  <x:si>
    <x:t xml:space="preserve">D1. Obtain the change or release procedure covering Mechanisms are established to enable the team that developed or deployed AI systems to regularly incorporate adjudicated feedback from relevant AI actors into system design and implementation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</x:si>
  <x:si>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Mechanisms are established to enable the team that developed or deployed AI systems to regularly incorporate adjudicated feedback from relevant AI actors into system design and implementation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</x:si>
  <x:si>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GOVERN 6</x:t>
  </x:si>
  <x:si>
    <x:t xml:space="preserve">Policies and procedures are in place to address AI risks and benefits arising from third-party software and data and other supply chain issues.</x:t>
  </x:si>
  <x:si>
    <x:t xml:space="preserve">GOVERN 6.1</x:t>
  </x:si>
  <x:si>
    <x:t xml:space="preserve">Policies and procedures are in place that address AI risks associated with third-party entities, including risks of infringement of a third party's intellectual property or other rights.</x:t>
  </x:si>
  <x:si>
    <x:t xml:space="preserve">D1. Obtain the third-party requirements covering Policies and procedures are in place that address AI risks associated with third-party entities, including risks of infringement of a third party's intellectual property or other rights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</x:si>
  <x:si>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e1. Third-party requirements covering Policies and procedures are in place that address AI risks associated with third-party entities, including risks of infringement of a third party's intellectual property or other rights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</x:si>
  <x:si>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GOVERN 6.2</x:t>
  </x:si>
  <x:si>
    <x:t xml:space="preserve">Contingency processes are in place to handle failures or incidents in third-party data or AI systems deemed to be high-risk.</x:t>
  </x:si>
  <x:si>
    <x:t xml:space="preserve">D1. Obtain the incident or escalation procedure covering Contingency processes are in place to handle failures or incidents in third-party data or AI systems deemed to be high-risk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</x:si>
  <x:si>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Contingency processes are in place to handle failures or incidents in third-party data or AI systems deemed to be high-risk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</x:si>
  <x:si>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MAP</x:t>
  </x:si>
  <x:si>
    <x:t xml:space="preserve">MAP 1</x:t>
  </x:si>
  <x:si>
    <x:t xml:space="preserve">Context is established and understood.</x:t>
  </x:si>
  <x:si>
    <x:t xml:space="preserve">MAP 1.1</x:t>
  </x:si>
  <x:si>
    <x:t xml:space="preserve">Intended purposes, potentially beneficial uses, context-specific laws, norms and expectations, and prospective settings in which the AI system will be deployed are understood and documented.</x:t>
  </x:si>
  <x:si>
    <x:t xml:space="preserve">D1. Obtain the change or release procedure covering Intended purposes, potentially beneficial uses, context-specific laws, norms and expectations, and prospective settings in which the AI system will be deployed are understood and documented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</x:si>
  <x:si>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Intended purposes, potentially beneficial uses, context-specific laws, norms and expectations, and prospective settings in which the AI system will be deployed are understood and documented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</x:si>
  <x:si>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MAP 1.2</x:t>
  </x:si>
  <x:si>
    <x:t xml:space="preserve">Interdisciplinary AI actors, competencies, skills and capacities for establishing context reflect demographic diversity and broad domain and user experience expertise, and their participation is documented. Opportunities for interdisciplinary collaboration are prioritized.</x:t>
  </x:si>
  <x:si>
    <x:t xml:space="preserve">D1. Obtain the training or competency requirement covering Interdisciplinary AI actors, competencies, skills and capacities for establishing context reflect demographic diversity and broad domain and user experience expertise, and their participation is documented. Opportunities for interdisciplinary collaboration are prioritized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x:t>
  </x:si>
  <x:si>
    <x:t xml:space="preserve">e1. A training or competency requirement covering Interdisciplinary AI actors, competencies, skills and capacities for establishing context reflect demographic diversity and broad domain and user experience expertise, and their participation is documented. Opportunities for interdisciplinary collaboration are prioritized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x:t>
  </x:si>
  <x:si>
    <x:t xml:space="preserve">MAP 1.3</x:t>
  </x:si>
  <x:si>
    <x:t xml:space="preserve">The organization's mission and relevant goals for AI technology are understood and documented.</x:t>
  </x:si>
  <x:si>
    <x:t xml:space="preserve">D1. Obtain the approved terms of reference, mandate or charter covering The organization's mission and relevant goals for AI technology are understood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</x:si>
  <x:si>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The organization's mission and relevant goals for AI technology are understood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</x:si>
  <x:si>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MAP 1.4</x:t>
  </x:si>
  <x:si>
    <x:t xml:space="preserve">The business value or context of business use has been clearly defined or, in the case of assessing existing AI systems, re-evaluated.</x:t>
  </x:si>
  <x:si>
    <x:t xml:space="preserve">D1. Obtain the approved validation or evaluation methodology for The business value or context of business use has been clearly defined or, in the case of assessing existing AI systems, re-evaluated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</x:si>
  <x:si>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The business value or context of business use has been clearly defined or, in the case of assessing existing AI systems, re-evaluated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</x:si>
  <x:si>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MAP 1.5</x:t>
  </x:si>
  <x:si>
    <x:t xml:space="preserve">Organizational risk tolerances are determined and documented.</x:t>
  </x:si>
  <x:si>
    <x:t xml:space="preserve">D1. Obtain the approved terms of reference, mandate or charter covering Organizational risk tolerances are determined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</x:si>
  <x:si>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Organizational risk tolerances are determined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</x:si>
  <x:si>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MAP 1.6</x:t>
  </x:si>
  <x:si>
    <x:t xml:space="preserve">System requirements (e.g., the system shall respect the privacy of its users) are elicited from and understood by relevant AI actors. Design decisions take socio-technical implications into account to address AI risks.</x:t>
  </x:si>
  <x:si>
    <x:t xml:space="preserve">D1. Obtain the data requirement covering System requirements (e.g., the system shall respect the privacy of its users) are elicited from and understood by relevant AI actors. Design decisions take socio-technical implications into account to address AI risks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x:t>
  </x:si>
  <x:si>
    <x:t xml:space="preserve">e1. In-scope data sources for System requirements (e.g., the system shall respect the privacy of its users) are elicited from and understood by relevant AI actors. Design decisions take socio-technical implications into account to address AI risks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x:t>
  </x:si>
  <x:si>
    <x:t xml:space="preserve">MAP 2</x:t>
  </x:si>
  <x:si>
    <x:t xml:space="preserve">Categorization of the AI system is performed.</x:t>
  </x:si>
  <x:si>
    <x:t xml:space="preserve">MAP 2.1</x:t>
  </x:si>
  <x:si>
    <x:t xml:space="preserve">The specific tasks and methods used to implement the tasks that the AI system will support are defined (e.g., classifiers, generative models, recommenders).</x:t>
  </x:si>
  <x:si>
    <x:t xml:space="preserve">D1. Obtain the approved methodology and template for The specific tasks and methods used to implement the tasks that the AI system will support are defined (e.g., classifiers, generative models, recommenders)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</x:si>
  <x:si>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The specific tasks and methods used to implement the tasks that the AI system will support are defined (e.g., classifiers, generative models, recommenders)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</x:si>
  <x:si>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MAP 2.2</x:t>
  </x:si>
  <x:si>
    <x:t xml:space="preserve">Information about the AI system's knowledge limits and how system output may be utilized and overseen by humans is documented.</x:t>
  </x:si>
  <x:si>
    <x:t xml:space="preserve">D1. Obtain the definition of the authority boundary for Information about the AI system's knowledge limits and how system output may be utilized and overseen by humans is documented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</x:si>
  <x:si>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Information about the AI system's knowledge limits and how system output may be utilized and overseen by humans is documented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</x:si>
  <x:si>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MAP 2.3</x:t>
  </x:si>
  <x:si>
    <x:t xml:space="preserve">Scientific integrity and TEVV considerations are identified and documented, including those related to experimental design, data collection and selection (e.g., availability, representativeness, suitability), system trustworthiness, and construct validation.</x:t>
  </x:si>
  <x:si>
    <x:t xml:space="preserve">D1. Obtain the approved methodology and template for Scientific integrity and TEVV considerations are identified and documented, including those related to experimental design, data collection and selection (e.g., availability, representativeness, suitability), system trustworthiness, and construct validation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</x:si>
  <x:si>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Scientific integrity and TEVV considerations are identified and documented, including those related to experimental design, data collection and selection (e.g., availability, representativeness, suitability), system trustworthiness, and construct validation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</x:si>
  <x:si>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MAP 3</x:t>
  </x:si>
  <x:si>
    <x:t xml:space="preserve">AI capabilities, targeted usage, goals, and expected benefits and costs compared with appropriate benchmarks are understood.</x:t>
  </x:si>
  <x:si>
    <x:t xml:space="preserve">MAP 3.1</x:t>
  </x:si>
  <x:si>
    <x:t xml:space="preserve">Potential benefits of intended AI system functionality and performance are examined and documented.</x:t>
  </x:si>
  <x:si>
    <x:t xml:space="preserve">D1. Obtain the approved terms of reference, mandate or charter covering Potential benefits of intended AI system functionality and performance are examined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</x:si>
  <x:si>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Potential benefits of intended AI system functionality and performance are examined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</x:si>
  <x:si>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MAP 3.2</x:t>
  </x:si>
  <x:si>
    <x:t xml:space="preserve">Potential costs, including non-monetary costs, which result from expected or realized AI errors or system functionality and trustworthiness, as connected to organizational risk tolerance, are examined and documented.</x:t>
  </x:si>
  <x:si>
    <x:t xml:space="preserve">D1. Obtain the approved terms of reference, mandate or charter covering Potential costs, including non-monetary costs, which result from expected or realized AI errors or system functionality and trustworthiness, as connected to organizational risk tolerance, are examined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</x:si>
  <x:si>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Potential costs, including non-monetary costs, which result from expected or realized AI errors or system functionality and trustworthiness, as connected to organizational risk tolerance, are examined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</x:si>
  <x:si>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MAP 3.3</x:t>
  </x:si>
  <x:si>
    <x:t xml:space="preserve">Targeted application scope is specified and documented based on the system's capability, established context, and AI system categorization.</x:t>
  </x:si>
  <x:si>
    <x:t xml:space="preserve">D1. Obtain the approved methodology and template for Targeted application scope is specified and documented based on the system's capability, established context, and AI system categorization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</x:si>
  <x:si>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Targeted application scope is specified and documented based on the system's capability, established context, and AI system categorization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</x:si>
  <x:si>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MAP 3.4</x:t>
  </x:si>
  <x:si>
    <x:t xml:space="preserve">Processes for operator and practitioner proficiency with AI system performance and trustworthiness, and relevant technical standards and certifications, are defined, assessed and documented.</x:t>
  </x:si>
  <x:si>
    <x:t xml:space="preserve">D1. Obtain the approved policy or standard covering Processes for operator and practitioner proficiency with AI system performance and trustworthiness, and relevant technical standards and certifications, are defined, assessed and documented,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</x:si>
  <x:si>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Processes for operator and practitioner proficiency with AI system performance and trustworthiness, and relevant technical standards and certifications, are defined, assessed and documented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</x:si>
  <x:si>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MAP 3.5</x:t>
  </x:si>
  <x:si>
    <x:t xml:space="preserve">Processes for human oversight are defined, assessed and documented in accordance with organizational policies from the GOVERN function.</x:t>
  </x:si>
  <x:si>
    <x:t xml:space="preserve">D1. Obtain the approved policy or standard covering Processes for human oversight are defined, assessed and documented in accordance with organizational policies from the GOVERN function,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</x:si>
  <x:si>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Processes for human oversight are defined, assessed and documented in accordance with organizational policies from the GOVERN function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</x:si>
  <x:si>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MAP 4</x:t>
  </x:si>
  <x:si>
    <x:t xml:space="preserve">Risks and benefits are mapped for all components of the AI system including third-party software and data.</x:t>
  </x:si>
  <x:si>
    <x:t xml:space="preserve">MAP 4.1</x:t>
  </x:si>
  <x:si>
    <x:t xml:space="preserve">Approaches for mapping AI technology and legal risks of its components, including the use of third-party data or software, are in place, followed and documented, as are risks of infringement of a third party's intellectual property or other rights.</x:t>
  </x:si>
  <x:si>
    <x:t xml:space="preserve">D1. Obtain the third-party requirements covering Approaches for mapping AI technology and legal risks of its components, including the use of third-party data or software, are in place, followed and documented, as are risks of infringement of a third party's intellectual property or other rights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</x:si>
  <x:si>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e1. Third-party requirements covering Approaches for mapping AI technology and legal risks of its components, including the use of third-party data or software, are in place, followed and documented, as are risks of infringement of a third party's intellectual property or other rights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</x:si>
  <x:si>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MAP 4.2</x:t>
  </x:si>
  <x:si>
    <x:t xml:space="preserve">Internal risk controls for components of the AI system, including third-party AI technologies, are identified and documented.</x:t>
  </x:si>
  <x:si>
    <x:t xml:space="preserve">D1. Obtain the third-party requirements covering Internal risk controls for components of the AI system, including third-party AI technologies, are identified and documented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</x:si>
  <x:si>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e1. Third-party requirements covering Internal risk controls for components of the AI system, including third-party AI technologies, are identified and documented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</x:si>
  <x:si>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MAP 5</x:t>
  </x:si>
  <x:si>
    <x:t xml:space="preserve">Impacts to individuals, groups, communities, organizations, and society are characterized.</x:t>
  </x:si>
  <x:si>
    <x:t xml:space="preserve">MAP 5.1</x:t>
  </x:si>
  <x:si>
    <x:t xml:space="preserve">Likelihood and magnitude of each identified impact (both potentially beneficial and harmful) based on expected use, past uses of AI systems in similar contexts, public incident reports, feedback, or other data are identified and documented.</x:t>
  </x:si>
  <x:si>
    <x:t xml:space="preserve">D1. Obtain the approved methodology and template for Likelihood and magnitude of each identified impact (both potentially beneficial and harmful) based on expected use, past uses of AI systems in similar contexts, public incident reports, feedback, or other data are identified and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</x:si>
  <x:si>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Likelihood and magnitude of each identified impact (both potentially beneficial and harmful) based on expected use, past uses of AI systems in similar contexts, public incident reports, feedback, or other data are identified and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</x:si>
  <x:si>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MAP 5.2</x:t>
  </x:si>
  <x:si>
    <x:t xml:space="preserve">Practices and personnel for supporting regular engagement with relevant AI actors and integrating feedback about positive, negative and unanticipated impacts are in place and documented.</x:t>
  </x:si>
  <x:si>
    <x:t xml:space="preserve">D1. Obtain the approved methodology and template for Practices and personnel for supporting regular engagement with relevant AI actors and integrating feedback about positive, negative and unanticipated impacts are in place and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</x:si>
  <x:si>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Practices and personnel for supporting regular engagement with relevant AI actors and integrating feedback about positive, negative and unanticipated impacts are in place and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</x:si>
  <x:si>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MEASURE</x:t>
  </x:si>
  <x:si>
    <x:t xml:space="preserve">MEASURE 1</x:t>
  </x:si>
  <x:si>
    <x:t xml:space="preserve">Appropriate methods and metrics are identified and applied.</x:t>
  </x:si>
  <x:si>
    <x:t xml:space="preserve">MEASURE 1.1</x:t>
  </x:si>
  <x:si>
    <x:t xml:space="preserve">Approaches and metrics for measurement of AI risks enumerated during the MAP function are selected for implementation starting with the most significant AI risks. Risks or trustworthiness characteristics that cannot be measured are properly documented.</x:t>
  </x:si>
  <x:si>
    <x:t xml:space="preserve">Indep. Validation / InfoSec</x:t>
  </x:si>
  <x:si>
    <x:t xml:space="preserve">D1. Obtain the register or inventory specification for Approaches and metrics for measurement of AI risks enumerated during the MAP function are selected for implementation starting with the most significant AI risks. Risks or trustworthiness characteristics that cannot be measured are properly documented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x:t>
  </x:si>
  <x:si>
    <x:t xml:space="preserve">e1. A register covering Approaches and metrics for measurement of AI risks enumerated during the MAP function are selected for implementation starting with the most significant AI risks. Risks or trustworthiness characteristics that cannot be measured are properly documented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x:t>
  </x:si>
  <x:si>
    <x:t xml:space="preserve">MEASURE 1.2</x:t>
  </x:si>
  <x:si>
    <x:t xml:space="preserve">Appropriateness of AI metrics and effectiveness of existing controls are regularly assessed and updated, including reports of errors and potential impacts on affected communities.</x:t>
  </x:si>
  <x:si>
    <x:t xml:space="preserve">D1. Obtain the approved methodology and template for Appropriateness of AI metrics and effectiveness of existing controls are regularly assessed and updated, including reports of errors and potential impacts on affected communities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</x:si>
  <x:si>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Appropriateness of AI metrics and effectiveness of existing controls are regularly assessed and updated, including reports of errors and potential impacts on affected communities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</x:si>
  <x:si>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MEASURE 1.3</x:t>
  </x:si>
  <x:si>
    <x:t xml:space="preserve">Internal experts who did not serve as front-line developers for the system and/or independent assessors are involved in regular assessments and updates. Domain experts, users, AI actors external to the team, and affected communities are consulted as necessary.</x:t>
  </x:si>
  <x:si>
    <x:t xml:space="preserve">D1. Obtain the approved methodology and template for Internal experts who did not serve as front-line developers for the system and/or independent assessors are involved in regular assessments and updates. Domain experts, users, AI actors external to the team, and affected communities are consulted as necessary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</x:si>
  <x:si>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Internal experts who did not serve as front-line developers for the system and/or independent assessors are involved in regular assessments and updates. Domain experts, users, AI actors external to the team, and affected communities are consulted as necessary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</x:si>
  <x:si>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MEASURE 2</x:t>
  </x:si>
  <x:si>
    <x:t xml:space="preserve">AI systems are evaluated for trustworthy characteristics.</x:t>
  </x:si>
  <x:si>
    <x:t xml:space="preserve">MEASURE 2.1</x:t>
  </x:si>
  <x:si>
    <x:t xml:space="preserve">Test sets, metrics and details about the tools used during TEVV are documented.</x:t>
  </x:si>
  <x:si>
    <x:t xml:space="preserve">D1. Obtain the approved validation or evaluation methodology for Test sets, metrics and details about the tools used during TEVV are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</x:si>
  <x:si>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Test sets, metrics and details about the tools used during TEVV are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</x:si>
  <x:si>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MEASURE 2.2</x:t>
  </x:si>
  <x:si>
    <x:t xml:space="preserve">Evaluations involving human subjects meet applicable requirements (including human subject protection) and are representative of the relevant population.</x:t>
  </x:si>
  <x:si>
    <x:t xml:space="preserve">D1. Obtain the approved validation or evaluation methodology for Evaluations involving human subjects meet applicable requirements (including human subject protection) and are representative of the relevant population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</x:si>
  <x:si>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Evaluations involving human subjects meet applicable requirements (including human subject protection) and are representative of the relevant population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</x:si>
  <x:si>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MEASURE 2.3</x:t>
  </x:si>
  <x:si>
    <x:t xml:space="preserve">AI system performance or assurance criteria are measured qualitatively or quantitatively and demonstrated for conditions similar to deployment setting(s). Measures are documented.</x:t>
  </x:si>
  <x:si>
    <x:t xml:space="preserve">Play 3, 4</x:t>
  </x:si>
  <x:si>
    <x:t xml:space="preserve">D1. Obtain the change or release procedure covering AI system performance or assurance criteria are measured qualitatively or quantitatively and demonstrated for conditions similar to deployment setting(s). Measures are documented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</x:si>
  <x:si>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AI system performance or assurance criteria are measured qualitatively or quantitatively and demonstrated for conditions similar to deployment setting(s). Measures are documented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</x:si>
  <x:si>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MEASURE 2.4</x:t>
  </x:si>
  <x:si>
    <x:t xml:space="preserve">The functionality and behavior of the AI system and its components, as identified in the MAP function, are monitored when in production.</x:t>
  </x:si>
  <x:si>
    <x:t xml:space="preserve">Play 3, 5</x:t>
  </x:si>
  <x:si>
    <x:t xml:space="preserve">D1. Obtain the monitoring design for The functionality and behavior of the AI system and its components, as identified in the MAP function, are monitored when in production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</x:si>
  <x:si>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The functionality and behavior of the AI system and its components, as identified in the MAP function, are monitored when in production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</x:si>
  <x:si>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MEASURE 2.5</x:t>
  </x:si>
  <x:si>
    <x:t xml:space="preserve">The AI system to be deployed is demonstrated to be valid and reliable. Limitations of the generalizability beyond the conditions under which the technology was developed are documented.</x:t>
  </x:si>
  <x:si>
    <x:t xml:space="preserve">D1. Obtain the definition of the authority boundary for The AI system to be deployed is demonstrated to be valid and reliable. Limitations of the generalizability beyond the conditions under which the technology was developed are documented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</x:si>
  <x:si>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The AI system to be deployed is demonstrated to be valid and reliable. Limitations of the generalizability beyond the conditions under which the technology was developed are documented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</x:si>
  <x:si>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MEASURE 2.6</x:t>
  </x:si>
  <x:si>
    <x:t xml:space="preserve">The AI system is evaluated regularly for safety risks. It is demonstrated to be safe, its residual negative risk does not exceed the risk tolerance, and it can fail safely, particularly if made to operate beyond its knowledge limits.</x:t>
  </x:si>
  <x:si>
    <x:t xml:space="preserve">Play 3, 10</x:t>
  </x:si>
  <x:si>
    <x:t xml:space="preserve">D1. Obtain the approved terms of reference, mandate or charter covering The AI system is evaluated regularly for safety risks. It is demonstrated to be safe, its residual negative risk does not exceed the risk tolerance, and it can fail safely, particularly if made to operate beyond its knowledge limits,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</x:si>
  <x:si>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The AI system is evaluated regularly for safety risks. It is demonstrated to be safe, its residual negative risk does not exceed the risk tolerance, and it can fail safely, particularly if made to operate beyond its knowledge limits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</x:si>
  <x:si>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MEASURE 2.7</x:t>
  </x:si>
  <x:si>
    <x:t xml:space="preserve">AI system security and resilience, as identified in the MAP function, are evaluated and documented.</x:t>
  </x:si>
  <x:si>
    <x:t xml:space="preserve">D1. Obtain the security or resilience requirement covering AI system security and resilience, as identified in the MAP function, are evaluated and documented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x:t>
  </x:si>
  <x:si>
    <x:t xml:space="preserve">e1. Security or resilience requirements covering AI system security and resilience, as identified in the MAP function, are evaluated and documented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x:t>
  </x:si>
  <x:si>
    <x:t xml:space="preserve">MEASURE 2.8</x:t>
  </x:si>
  <x:si>
    <x:t xml:space="preserve">Risks associated with transparency and accountability, as identified in the MAP function, are examined and documented.</x:t>
  </x:si>
  <x:si>
    <x:t xml:space="preserve">D1. Obtain the approved terms of reference, mandate or charter covering Risks associated with transparency and accountability, as identified in the MAP function, are examined and documented,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</x:si>
  <x:si>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Risks associated with transparency and accountability, as identified in the MAP function, are examined and documented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</x:si>
  <x:si>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MEASURE 2.9</x:t>
  </x:si>
  <x:si>
    <x:t xml:space="preserve">The AI model is explained, validated and documented, and AI system output is interpreted within its context to inform responsible use and governance.</x:t>
  </x:si>
  <x:si>
    <x:t xml:space="preserve">D1. Obtain the approved validation or evaluation methodology for The AI model is explained, validated and documented, and AI system output is interpreted within its context to inform responsible use and governance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</x:si>
  <x:si>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The AI model is explained, validated and documented, and AI system output is interpreted within its context to inform responsible use and governance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</x:si>
  <x:si>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MEASURE 2.10</x:t>
  </x:si>
  <x:si>
    <x:t xml:space="preserve">Privacy risk of the AI system, as identified in the MAP function, is examined and documented.</x:t>
  </x:si>
  <x:si>
    <x:t xml:space="preserve">D1. Obtain the data requirement covering Privacy risk of the AI system, as identified in the MAP function, is examined and documented — which datasets are in scope, the quality attributes required and the lineage that must be recorded.
D2. Confirm the permitted-use basis for each source is established, including personal data, licensed data and data whose terms restrict model training.
D3. Confirm quality criteria are measurable and have thresholds, rather than aspirational adjectives.
D4. Confirm retention, deletion and the handling of data-subject or contractual deletion requests where a model or index has already absorbed the data.
D5. Confirm who approves a new data source into the system.
Design verdict: ADEQUATE when D1-D4 hold. PARTIALLY ADEQUATE when quality criteria exist without thresholds, or deletion in the model or index is unaddressed. INADEQUATE when permitted use is undefined. NOT TESTABLE when the requirement is not produced.</x:t>
  </x:si>
  <x:si>
    <x:t xml:space="preserve">e1. In-scope data sources for Privacy risk of the AI system, as identified in the MAP function, is examined and documented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x:t>
  </x:si>
  <x:si>
    <x:t xml:space="preserve">MEASURE 2.11</x:t>
  </x:si>
  <x:si>
    <x:t xml:space="preserve">Fairness and bias, as identified in the MAP function, are evaluated and results are documented.</x:t>
  </x:si>
  <x:si>
    <x:t xml:space="preserve">D1. Obtain the approved validation or evaluation methodology for Fairness and bias, as identified in the MAP function, are evaluated and results are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</x:si>
  <x:si>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Fairness and bias, as identified in the MAP function, are evaluated and results are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</x:si>
  <x:si>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MEASURE 2.12</x:t>
  </x:si>
  <x:si>
    <x:t xml:space="preserve">Environmental impact and sustainability of AI model training and management activities, as identified in the MAP function, are assessed and documented.</x:t>
  </x:si>
  <x:si>
    <x:t xml:space="preserve">D1. Obtain the approved methodology and template for Environmental impact and sustainability of AI model training and management activities, as identified in the MAP function, are assessed and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</x:si>
  <x:si>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Environmental impact and sustainability of AI model training and management activities, as identified in the MAP function, are assessed and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</x:si>
  <x:si>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MEASURE 2.13</x:t>
  </x:si>
  <x:si>
    <x:t xml:space="preserve">Effectiveness of the employed TEVV metrics and processes in the MEASURE function are evaluated and documented.</x:t>
  </x:si>
  <x:si>
    <x:t xml:space="preserve">D1. Obtain the approved validation or evaluation methodology for Effectiveness of the employed TEVV metrics and processes in the MEASURE function are evaluated and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</x:si>
  <x:si>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Effectiveness of the employed TEVV metrics and processes in the MEASURE function are evaluated and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</x:si>
  <x:si>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MEASURE 3</x:t>
  </x:si>
  <x:si>
    <x:t xml:space="preserve">Mechanisms for tracking identified AI risks over time are in place.</x:t>
  </x:si>
  <x:si>
    <x:t xml:space="preserve">MEASURE 3.1</x:t>
  </x:si>
  <x:si>
    <x:t xml:space="preserve">Approaches, personnel and documentation are in place to regularly identify and track existing, unanticipated and emergent AI risks based on factors such as intended and actual performance in deployed contexts.</x:t>
  </x:si>
  <x:si>
    <x:t xml:space="preserve">Play 5</x:t>
  </x:si>
  <x:si>
    <x:t xml:space="preserve">D1. Obtain the change or release procedure covering Approaches, personnel and documentation are in place to regularly identify and track existing, unanticipated and emergent AI risks based on factors such as intended and actual performance in deployed contexts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</x:si>
  <x:si>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Approaches, personnel and documentation are in place to regularly identify and track existing, unanticipated and emergent AI risks based on factors such as intended and actual performance in deployed contexts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</x:si>
  <x:si>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MEASURE 3.2</x:t>
  </x:si>
  <x:si>
    <x:t xml:space="preserve">Risk tracking approaches are considered for settings where AI risks are difficult to assess using currently available measurement techniques or where metrics are not yet available.</x:t>
  </x:si>
  <x:si>
    <x:t xml:space="preserve">D1. Obtain the monitoring design for Risk tracking approaches are considered for settings where AI risks are difficult to assess using currently available measurement techniques or where metrics are not yet available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</x:si>
  <x:si>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Risk tracking approaches are considered for settings where AI risks are difficult to assess using currently available measurement techniques or where metrics are not yet available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</x:si>
  <x:si>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MEASURE 3.3</x:t>
  </x:si>
  <x:si>
    <x:t xml:space="preserve">Feedback processes for end users and impacted communities to report problems and appeal system outcomes are established and integrated into AI system evaluation metrics.</x:t>
  </x:si>
  <x:si>
    <x:t xml:space="preserve">D1. Obtain the approved methodology and template for Feedback processes for end users and impacted communities to report problems and appeal system outcomes are established and integrated into AI system evaluation metrics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</x:si>
  <x:si>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Feedback processes for end users and impacted communities to report problems and appeal system outcomes are established and integrated into AI system evaluation metrics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</x:si>
  <x:si>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MEASURE 4</x:t>
  </x:si>
  <x:si>
    <x:t xml:space="preserve">Feedback about efficacy of measurement is gathered and assessed.</x:t>
  </x:si>
  <x:si>
    <x:t xml:space="preserve">MEASURE 4.1</x:t>
  </x:si>
  <x:si>
    <x:t xml:space="preserve">Measurement approaches for identifying AI risks are connected to deployment context(s) and informed through consultation with domain experts and other end users. Approaches are documented.</x:t>
  </x:si>
  <x:si>
    <x:t xml:space="preserve">D1. Obtain the change or release procedure covering Measurement approaches for identifying AI risks are connected to deployment context(s) and informed through consultation with domain experts and other end users. Approaches are documented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</x:si>
  <x:si>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Measurement approaches for identifying AI risks are connected to deployment context(s) and informed through consultation with domain experts and other end users. Approaches are documented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</x:si>
  <x:si>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MEASURE 4.2</x:t>
  </x:si>
  <x:si>
    <x:t xml:space="preserve">Measurement results regarding AI system trustworthiness in deployment context(s) and across the AI lifecycle are informed by input from domain experts and relevant AI actors to validate whether the system is performing consistently as intended. Results are documented.</x:t>
  </x:si>
  <x:si>
    <x:t xml:space="preserve">D1. Obtain the approved validation or evaluation methodology for Measurement results regarding AI system trustworthiness in deployment context(s) and across the AI lifecycle are informed by input from domain experts and relevant AI actors to validate whether the system is performing consistently as intended. Results are documented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</x:si>
  <x:si>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Measurement results regarding AI system trustworthiness in deployment context(s) and across the AI lifecycle are informed by input from domain experts and relevant AI actors to validate whether the system is performing consistently as intended. Results are documented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</x:si>
  <x:si>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MEASURE 4.3</x:t>
  </x:si>
  <x:si>
    <x:t xml:space="preserve">Measurable performance improvements or declines based on consultations with relevant AI actors, including affected communities, and field data about context-relevant risks and trustworthiness characteristics are identified and documented.</x:t>
  </x:si>
  <x:si>
    <x:t xml:space="preserve">D1. Obtain the monitoring design for Measurable performance improvements or declines based on consultations with relevant AI actors, including affected communities, and field data about context-relevant risks and trustworthiness characteristics are identified and documented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</x:si>
  <x:si>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Measurable performance improvements or declines based on consultations with relevant AI actors, including affected communities, and field data about context-relevant risks and trustworthiness characteristics are identified and documented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</x:si>
  <x:si>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MANAGE</x:t>
  </x:si>
  <x:si>
    <x:t xml:space="preserve">MANAGE 1</x:t>
  </x:si>
  <x:si>
    <x:t xml:space="preserve">AI risks based on assessments and other analytical output from the MAP and MEASURE functions are prioritized, responded to, and managed.</x:t>
  </x:si>
  <x:si>
    <x:t xml:space="preserve">MANAGE 1.1</x:t>
  </x:si>
  <x:si>
    <x:t xml:space="preserve">A determination is made as to whether the AI system achieves its intended purposes and stated objectives and whether its development or deployment should proceed.</x:t>
  </x:si>
  <x:si>
    <x:t xml:space="preserve">Play 4, 10</x:t>
  </x:si>
  <x:si>
    <x:t xml:space="preserve">D1. Obtain the change or release procedure covering A determination is made as to whether the AI system achieves its intended purposes and stated objectives and whether its development or deployment should proceed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</x:si>
  <x:si>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A determination is made as to whether the AI system achieves its intended purposes and stated objectives and whether its development or deployment should proceed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</x:si>
  <x:si>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MANAGE 1.2</x:t>
  </x:si>
  <x:si>
    <x:t xml:space="preserve">Treatment of documented AI risks is prioritized based on impact, likelihood and available resources or methods.</x:t>
  </x:si>
  <x:si>
    <x:t xml:space="preserve">Play 10</x:t>
  </x:si>
  <x:si>
    <x:t xml:space="preserve">D1. Obtain the approved methodology and template for Treatment of documented AI risks is prioritized based on impact, likelihood and available resources or methods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</x:si>
  <x:si>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Treatment of documented AI risks is prioritized based on impact, likelihood and available resources or methods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</x:si>
  <x:si>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MANAGE 1.3</x:t>
  </x:si>
  <x:si>
    <x:t xml:space="preserve">Responses to the AI risks deemed high priority, as identified by the MAP function, are developed, planned and documented. Risk response options can include mitigating, transferring, avoiding or accepting.</x:t>
  </x:si>
  <x:si>
    <x:t xml:space="preserve">D1. Obtain the incident or escalation procedure covering Responses to the AI risks deemed high priority, as identified by the MAP function, are developed, planned and documented. Risk response options can include mitigating, transferring, avoiding or accepting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</x:si>
  <x:si>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Responses to the AI risks deemed high priority, as identified by the MAP function, are developed, planned and documented. Risk response options can include mitigating, transferring, avoiding or accepting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</x:si>
  <x:si>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MANAGE 1.4</x:t>
  </x:si>
  <x:si>
    <x:t xml:space="preserve">Negative residual risks (defined as the sum of all unmitigated risks) to both downstream acquirers of AI systems and end users are documented.</x:t>
  </x:si>
  <x:si>
    <x:t xml:space="preserve">D1. Obtain the approved methodology and template for Negative residual risks (defined as the sum of all unmitigated risks) to both downstream acquirers of AI systems and end users are documented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</x:si>
  <x:si>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Negative residual risks (defined as the sum of all unmitigated risks) to both downstream acquirers of AI systems and end users are documented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</x:si>
  <x:si>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MANAGE 2</x:t>
  </x:si>
  <x:si>
    <x:t xml:space="preserve">Strategies to maximize AI benefits and minimize negative impacts are planned, prepared, implemented, documented, and informed by input from relevant AI actors.</x:t>
  </x:si>
  <x:si>
    <x:t xml:space="preserve">MANAGE 2.1</x:t>
  </x:si>
  <x:si>
    <x:t xml:space="preserve">Resources required to manage AI risks are taken into account, along with viable non-AI alternative systems, approaches or methods, to reduce the magnitude or likelihood of potential impacts.</x:t>
  </x:si>
  <x:si>
    <x:t xml:space="preserve">D1. Obtain the approved methodology and template for Resources required to manage AI risks are taken into account, along with viable non-AI alternative systems, approaches or methods, to reduce the magnitude or likelihood of potential impacts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</x:si>
  <x:si>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Resources required to manage AI risks are taken into account, along with viable non-AI alternative systems, approaches or methods, to reduce the magnitude or likelihood of potential impacts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</x:si>
  <x:si>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MANAGE 2.2</x:t>
  </x:si>
  <x:si>
    <x:t xml:space="preserve">Mechanisms are in place and applied to sustain the value of deployed AI systems.</x:t>
  </x:si>
  <x:si>
    <x:t xml:space="preserve">D1. Obtain the change or release procedure covering Mechanisms are in place and applied to sustain the value of deployed AI systems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</x:si>
  <x:si>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Mechanisms are in place and applied to sustain the value of deployed AI systems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</x:si>
  <x:si>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MANAGE 2.3</x:t>
  </x:si>
  <x:si>
    <x:t xml:space="preserve">Procedures are followed to respond to and recover from a previously unknown risk when it is identified.</x:t>
  </x:si>
  <x:si>
    <x:t xml:space="preserve">D1. Obtain the incident or escalation procedure covering Procedures are followed to respond to and recover from a previously unknown risk when it is identified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</x:si>
  <x:si>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Procedures are followed to respond to and recover from a previously unknown risk when it is identified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</x:si>
  <x:si>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MANAGE 2.4</x:t>
  </x:si>
  <x:si>
    <x:t xml:space="preserve">Mechanisms are in place and applied, and responsibilities are assigned and understood, to supersede, disengage or deactivate AI systems that demonstrate performance or outcomes inconsistent with intended use.</x:t>
  </x:si>
  <x:si>
    <x:t xml:space="preserve">Play 6, 9</x:t>
  </x:si>
  <x:si>
    <x:t xml:space="preserve">D1. Obtain the incident or escalation procedure covering Mechanisms are in place and applied, and responsibilities are assigned and understood, to supersede, disengage or deactivate AI systems that demonstrate performance or outcomes inconsistent with intended use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</x:si>
  <x:si>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Mechanisms are in place and applied, and responsibilities are assigned and understood, to supersede, disengage or deactivate AI systems that demonstrate performance or outcomes inconsistent with intended use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</x:si>
  <x:si>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MANAGE 3</x:t>
  </x:si>
  <x:si>
    <x:t xml:space="preserve">AI risks and benefits from third-party entities are managed.</x:t>
  </x:si>
  <x:si>
    <x:t xml:space="preserve">MANAGE 3.1</x:t>
  </x:si>
  <x:si>
    <x:t xml:space="preserve">AI risks and benefits from third-party resources are regularly monitored, and risk controls are applied and documented.</x:t>
  </x:si>
  <x:si>
    <x:t xml:space="preserve">D1. Obtain the third-party requirements covering AI risks and benefits from third-party resources are regularly monitored, and risk controls are applied and documented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</x:si>
  <x:si>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e1. Third-party requirements covering AI risks and benefits from third-party resources are regularly monitored, and risk controls are applied and documented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</x:si>
  <x:si>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MANAGE 3.2</x:t>
  </x:si>
  <x:si>
    <x:t xml:space="preserve">Pre-trained models which are used for development are monitored as part of AI system regular monitoring and maintenance.</x:t>
  </x:si>
  <x:si>
    <x:t xml:space="preserve">D1. Obtain the monitoring design for Pre-trained models which are used for development are monitored as part of AI system regular monitoring and maintenance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</x:si>
  <x:si>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Pre-trained models which are used for development are monitored as part of AI system regular monitoring and maintenance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</x:si>
  <x:si>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MANAGE 4</x:t>
  </x:si>
  <x:si>
    <x:t xml:space="preserve">Risk treatments, including response and recovery, and communication plans for the identified and measured AI risks are documented and monitored regularly.</x:t>
  </x:si>
  <x:si>
    <x:t xml:space="preserve">MANAGE 4.1</x:t>
  </x:si>
  <x:si>
    <x:t xml:space="preserve">Post-deployment AI system monitoring plans are implemented, including mechanisms for capturing and evaluating input from users and other relevant AI actors, appeal and override, decommissioning, incident response, recovery, and change management.</x:t>
  </x:si>
  <x:si>
    <x:t xml:space="preserve">D1. Obtain the incident or escalation procedure covering Post-deployment AI system monitoring plans are implemented, including mechanisms for capturing and evaluating input from users and other relevant AI actors, appeal and override, decommissioning, incident response, recovery, and change management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</x:si>
  <x:si>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Post-deployment AI system monitoring plans are implemented, including mechanisms for capturing and evaluating input from users and other relevant AI actors, appeal and override, decommissioning, incident response, recovery, and change management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</x:si>
  <x:si>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MANAGE 4.2</x:t>
  </x:si>
  <x:si>
    <x:t xml:space="preserve">Measurable activities for continual improvements are integrated into AI system updates and include regular engagement with interested parties, including relevant AI actors.</x:t>
  </x:si>
  <x:si>
    <x:t xml:space="preserve">D1. Obtain the approved artefact that defines Measurable activities for continual improvements are integrated into AI system updates and include regular engagement with interested parties, including relevant AI actors — procedure, standard, configuration or specification — with its owner, approval and version.
D2. Confirm it states what must happen, who must do it, when it is triggered and what output it produces, in terms specific enough that two assessors would test it the same way.
D3. Confirm the evidence the control is expected to generate, and where that evidence is retained.
D4. Confirm the exception route and the review cycle.
D5. Confirm the design addresses the stated objective rather than restating it: as stated in the control text
Design verdict: ADEQUATE when D1-D3 hold. PARTIALLY ADEQUATE when the control is defined but its output evidence or exception route is not. INADEQUATE when the control cannot be tested as written. NOT TESTABLE when the approved artefact is not produced.</x:t>
  </x:si>
  <x:si>
    <x:t xml:space="preserve">O1. Establish the population the control operates over, from a source independent of the team being assessed, and state the record count.
O2. Sample across the period, weighted to the higher-risk or higher-materiality end.
O3. Reperform the control step on each sampled item and compare the result to the recorded outcome.
O4. Verify timing — the control operated before the thing it governs, at the required frequency.
O5. Trace exceptions and failures to remediation or formal acceptance.
Operating verdict: EFFECTIVE when reperformance agrees, timing holds and exceptions are dispositioned. PARTIALLY EFFECTIVE when the control operated with gaps in evidence or timing. INEFFECTIVE when material instances were not performed. NOT TESTABLE when the population or the operating records are unavailable.</x:t>
  </x:si>
  <x:si>
    <x:t xml:space="preserve">e1. An approved artefact defines Measurable activities for continual improvements are integrated into AI system updates and include regular engagement with interested parties, including relevant AI actors
e2. It states the required activity, the accountable role, the trigger and the output
e3. The evidence the control generates is identified and retained
e4. An exception route and review cycle exist
e5. The control operated across the period at the required frequency
e6. Reperformance of sampled items agrees with the recorded outcome</x:t>
  </x:si>
  <x:si>
    <x:t xml:space="preserve">Population: all instances the control should have operated over in the period, established independently of the assessed team, with a record count. Evidence floor: fewer than 3 sampled instances, or a population supplied without an independent source, makes the operating result NOT TESTABLE.</x:t>
  </x:si>
  <x:si>
    <x:t xml:space="preserve">F1. The evidence describes the control as designed rather than showing an instance of it operating.
F2. The population was supplied by the team being assessed, so an omission cannot be detected.
F3. Every sampled instance carries the same date, indicating a retrospective exercise.
F4. The control output exists but no one acted on it — a report produced and never read.
F5. The artefact is approved but its version postdates the period being tested.</x:t>
  </x:si>
  <x:si>
    <x:t xml:space="preserve">F1 → A dated instance of the control operating, with its output.
F2 → A population extracted from an independent system with a record count.
F3 → Instances distributed across the period consistent with the stated frequency.
F4 → Evidence of the output being reviewed and acted on, with a named reviewer.
F5 → The version of the artefact in force during the period.</x:t>
  </x:si>
  <x:si>
    <x:t xml:space="preserve">none - no approved definition, or no evidence the control operated.
partial - the control is defined and operated but population completeness, timing or reperformance is not evidenced.
full - the control is defined, operated at frequency over a completely established population, and reperformance agrees with the recorded outcomes.</x:t>
  </x:si>
  <x:si>
    <x:t xml:space="preserve">Archetype: generic — DRAFT, requires second-line authoring and control-owner approval before authoritative use</x:t>
  </x:si>
  <x:si>
    <x:t xml:space="preserve">MANAGE 4.3</x:t>
  </x:si>
  <x:si>
    <x:t xml:space="preserve">Incidents and errors are communicated to relevant AI actors, including affected communities. Processes for tracking, responding to and recovering from incidents and errors are followed and documented.</x:t>
  </x:si>
  <x:si>
    <x:t xml:space="preserve">D1. Obtain the incident or escalation procedure covering Incidents and errors are communicated to relevant AI actors, including affected communities. Processes for tracking, responding to and recovering from incidents and errors are followed and documented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</x:si>
  <x:si>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Incidents and errors are communicated to relevant AI actors, including affected communities. Processes for tracking, responding to and recovering from incidents and errors are followed and documented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</x:si>
  <x:si>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Control Library - MAS — Control Tracker</x:t>
  </x:si>
  <x:si>
    <x:t xml:space="preserve">v0.4 control-testing procedures: Test of Design (ToD) verifies control design; Test of Operating Effectiveness (ToE) verifies execution over a defined population/sample. PASS/FAIL/NOT TESTABLE are determined from the cited evidence.</x:t>
  </x:si>
  <x:si>
    <x:t xml:space="preserve">MAS Pillar</x:t>
  </x:si>
  <x:si>
    <x:t xml:space="preserve">MAS ref</x:t>
  </x:si>
  <x:si>
    <x:t xml:space="preserve">MAS expectation area</x:t>
  </x:si>
  <x:si>
    <x:t xml:space="preserve">Primary MAS source</x:t>
  </x:si>
  <x:si>
    <x:t xml:space="preserve">ISO 42001</x:t>
  </x:si>
  <x:si>
    <x:t xml:space="preserve">NIST AI RMF</x:t>
  </x:si>
  <x:si>
    <x:t xml:space="preserve">Linked agentic controls (MGF | SAFR)</x:t>
  </x:si>
  <x:si>
    <x:t xml:space="preserve">Linked CSA PA</x:t>
  </x:si>
  <x:si>
    <x:t xml:space="preserve">1. AI Oversight &amp; Governance</x:t>
  </x:si>
  <x:si>
    <x:t xml:space="preserve">M1.1</x:t>
  </x:si>
  <x:si>
    <x:t xml:space="preserve">Board &amp; senior management accountability for AI risk (risk appetite, framework approval)</x:t>
  </x:si>
  <x:si>
    <x:t xml:space="preserve">AIRG Consultation Paper P017-2025 (Nov 2025, proposed); AI MRM Paper (Dec 2024)</x:t>
  </x:si>
  <x:si>
    <x:t xml:space="preserve">A.2.2; A.3.2</x:t>
  </x:si>
  <x:si>
    <x:t xml:space="preserve">GOVERN 1.1; GOVERN 2.3</x:t>
  </x:si>
  <x:si>
    <x:t xml:space="preserve">Board mandate; approved framework</x:t>
  </x:si>
  <x:si>
    <x:t xml:space="preserve">MGF D2.1 | SAFR S1.2</x:t>
  </x:si>
  <x:si>
    <x:t xml:space="preserve">D1. Inspect the Board mandate/risk governance charter, AI risk framework and approval records.
D2. Confirm the documents assign Board/senior-management accountability, define risk appetite/tolerance oversight, and specify decisions reserved for escalation/approval.
D3. Confirm reporting cadence, materiality thresholds and evidence-retention responsibilities are defined. PASS when accountability, decision rights and reporting are formally approved and current; FAIL when any material accountability or approval boundary is missing/ambiguous; NOT TESTABLE when the authoritative governance artefacts cannot be obtained.</x:t>
  </x:si>
  <x:si>
    <x:t xml:space="preserve">O1. Obtain the latest 12 months of AI risk reporting and Board/AI Risk Committee minutes, plus a risk-based sample of material AI approvals or risk acceptances.
O2. Trace material issues, breaches and high-risk use cases to an accountable senior-management/Board decision.
O3. Verify decisions, actions and overdue items were recorded and followed up. PASS when the approved governance model operated on schedule and material matters were escalated/decided; FAIL when required oversight, decisions or follow-up did not occur; NOT TESTABLE when records are unavailable.</x:t>
  </x:si>
  <x:si>
    <x:t xml:space="preserve">PA 2, PA 6</x:t>
  </x:si>
  <x:si>
    <x:t xml:space="preserve">e1. A named senior management or governance body has an approved mandate covering AI risk oversight and decision rights  [programme scope]
e2. The AI risk management framework and applicable risk appetite or tolerances are formally approved and current  [programme scope]
e3. Material AI risk decisions are attributable to the accountable governance body or named senior accountable role, with the decision record retained  [programme scope]</x:t>
  </x:si>
  <x:si>
    <x:t xml:space="preserve">none - General statements that management supports responsible AI without a named mandate, approved framework or accountable decision record
partial - A mandate and/or approved framework exists, but one or more decision-rights or approval elements is not evidenced
full - The mandate, approved framework/risk appetite and attributable material-risk decision rights are evidenced and current</x:t>
  </x:si>
  <x:si>
    <x:t xml:space="preserve">Bespoke — requirements/mas.yaml v1 (AI MRM Paper (Dec 2024) (known); AIRG Consultation Paper P017-2025 (unchecked)). Procedure: MAS v0.4 bespoke.</x:t>
  </x:si>
  <x:si>
    <x:t xml:space="preserve">M1.2</x:t>
  </x:si>
  <x:si>
    <x:t xml:space="preserve">AI policies &amp; guiding principles (fair, ethical, accountable, transparent use)</x:t>
  </x:si>
  <x:si>
    <x:t xml:space="preserve">FEAT (2018); AIRG Consultation Paper P017-2025 (Nov 2025, proposed)</x:t>
  </x:si>
  <x:si>
    <x:t xml:space="preserve">A.2.2; A.2.3; A.2.4</x:t>
  </x:si>
  <x:si>
    <x:t xml:space="preserve">GOVERN 1.2; GOVERN 1.4; GOVERN 4.1</x:t>
  </x:si>
  <x:si>
    <x:t xml:space="preserve">AI use policy</x:t>
  </x:si>
  <x:si>
    <x:t xml:space="preserve">carry the FEAT/fairness control mappings that feed those principles.</x:t>
  </x:si>
  <x:si>
    <x:t xml:space="preserve">D1. Inspect the AI policy and guiding-principles document and approval/version history.
D2. Confirm it covers fair, ethical, accountable and transparent AI use, scope, prohibited/controlled uses, roles and escalation.
D3. Confirm the policy is linked to relevant lifecycle controls and is reviewed on a defined cadence or material change. PASS when the principles are explicit, approved, current and operationally mapped; FAIL when principles or governance expectations are missing or unowned; NOT TESTABLE when no approved policy can be evidenced.</x:t>
  </x:si>
  <x:si>
    <x:t xml:space="preserve">O1. Select a risk-based sample of AI use cases across materiality tiers.
O2. Verify each sampled use case references/apply the relevant AI policy principles and any required attestation or approval.
O3. Inspect exceptions, policy breaches and remediation. PASS when sampled use cases demonstrably follow the approved principles and exceptions are formally dispositioned; FAIL where use is inconsistent with policy or no exception governance exists; NOT TESTABLE where the operating population cannot be established.</x:t>
  </x:si>
  <x:si>
    <x:t xml:space="preserve">PA 2</x:t>
  </x:si>
  <x:si>
    <x:t xml:space="preserve">e1. An approved, current policy or standard covering AI policies &amp; guiding principles (fair, ethical, accountable, transparent use)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</x:si>
  <x:si>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Procedure: MAS v0.4 bespoke. Elements/boundary: archetype policy_standard — DRAFT, requirement text not yet written</x:t>
  </x:si>
  <x:si>
    <x:t xml:space="preserve">M1.3</x:t>
  </x:si>
  <x:si>
    <x:t xml:space="preserve">Cross-functional AI oversight forum / AI risk committee</x:t>
  </x:si>
  <x:si>
    <x:t xml:space="preserve">AI MRM Paper (Dec 2024); AIRG Consultation Paper P017-2025 (Nov 2025, proposed)</x:t>
  </x:si>
  <x:si>
    <x:t xml:space="preserve">GOVERN 2.1; GOVERN 4.3</x:t>
  </x:si>
  <x:si>
    <x:t xml:space="preserve">Committee terms of reference; minutes</x:t>
  </x:si>
  <x:si>
    <x:t xml:space="preserve">D1. Inspect committee terms of reference, membership and annual calendar.
D2. Confirm the forum has cross-functional representation, quorum, mandate, decision rights, conflict handling and escalation authority covering AI risk.
D3. Confirm meeting cadence and required reporting inputs are defined. PASS when mandate, membership, quorum, cadence and decision rights are explicit and approved; FAIL when oversight responsibilities are materially unclear; NOT TESTABLE when the governance forum cannot be evidenced.</x:t>
  </x:si>
  <x:si>
    <x:t xml:space="preserve">O1. Sample at least three recent committee meetings, including any meeting covering a high-materiality AI decision if available.
O2. Verify attendance/quorum, agenda coverage, risk decisions, challenge, escalation and action tracking.
O3. Trace a sample of open actions to closure or formal acceptance. PASS when meetings occurred at the required cadence with effective challenge and follow-through; FAIL when meetings, quorum, decisions or action tracking are materially deficient; NOT TESTABLE when minutes/attendance records are incomplete.</x:t>
  </x:si>
  <x:si>
    <x:t xml:space="preserve">PA 4</x:t>
  </x:si>
  <x:si>
    <x:t xml:space="preserve">e1. A named body or role holds an approved mandate covering Cross-functional AI oversight forum / AI risk committee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</x:si>
  <x:si>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Procedure: MAS v0.4 bespoke. Elements/boundary: archetype governance_body — DRAFT, requirement text not yet written</x:t>
  </x:si>
  <x:si>
    <x:t xml:space="preserve">M1.4</x:t>
  </x:si>
  <x:si>
    <x:t xml:space="preserve">AI risk appetite &amp; risk tolerance setting</x:t>
  </x:si>
  <x:si>
    <x:t xml:space="preserve">AIRG Consultation Paper P017-2025 (Nov 2025, proposed)</x:t>
  </x:si>
  <x:si>
    <x:t xml:space="preserve">GOVERN 1.3; MAP 1.5</x:t>
  </x:si>
  <x:si>
    <x:t xml:space="preserve">AI risk appetite statement</x:t>
  </x:si>
  <x:si>
    <x:t xml:space="preserve">D1. Inspect the AI risk appetite statement and related thresholds/metrics.
D2. Confirm appetite distinguishes prohibited, tolerable and escalation conditions and addresses material AI risks relevant to the organisation.
D3. Confirm ownership, approval and review/change triggers are documented. PASS when appetite is measurable, approved, attributable and connected to escalation; FAIL when thresholds are vague, absent or disconnected from decision rights; NOT TESTABLE when no current approved appetite statement exists.</x:t>
  </x:si>
  <x:si>
    <x:t xml:space="preserve">O1. Select a sample of recent AI risk assessments, incidents or monitoring breaches.
O2. Recalculate/compare reported inherent and residual risk to the approved appetite and tolerance thresholds.
O3. Verify breaches were escalated, decisions recorded and temporary exceptions time-bounded. PASS when appetite actively influenced operating decisions and breaches were handled consistently; FAIL when risk appetite was ignored or not evidenced; NOT TESTABLE when no relevant operating instances exist.</x:t>
  </x:si>
  <x:si>
    <x:t xml:space="preserve">e1. A named body or role holds an approved mandate covering AI risk appetite &amp; risk tolerance setting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</x:si>
  <x:si>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M1.5</x:t>
  </x:si>
  <x:si>
    <x:t xml:space="preserve">AI literacy, culture &amp; training across the organisation</x:t>
  </x:si>
  <x:si>
    <x:t xml:space="preserve">A.3.3; A.4.6</x:t>
  </x:si>
  <x:si>
    <x:t xml:space="preserve">GOVERN 2.2; GOVERN 4.1</x:t>
  </x:si>
  <x:si>
    <x:t xml:space="preserve">Training plan &amp; records</x:t>
  </x:si>
  <x:si>
    <x:t xml:space="preserve">MGF D4.3, D4.4</x:t>
  </x:si>
  <x:si>
    <x:t xml:space="preserve">D1. Inspect the AI literacy/competency framework, role-based training curriculum and mandatory requirements.
D2. Confirm content is differentiated for Board/senior management, business users, model owners/developers, risk/control functions and integrating users where relevant.
D3. Confirm completion, refresher cadence and remediation/escalation rules are defined. PASS when role-based competency requirements and ownership are approved and measurable; FAIL when material roles or refresher/remediation requirements are absent; NOT TESTABLE when no controlled training framework exists.</x:t>
  </x:si>
  <x:si>
    <x:t xml:space="preserve">O1. Obtain training population and completion records for the last review period.
O2. Sample required roles across business, technology, risk and oversight functions and verify completion/currentness against mandated cadence.
O3. Inspect overdue training, assessment results where applicable and remediation. PASS when required personnel are trained/current and gaps are actively managed; FAIL when material training gaps remain unmanaged; NOT TESTABLE when role population or records cannot be reconciled.</x:t>
  </x:si>
  <x:si>
    <x:t xml:space="preserve">e1. A training or competency requirement covering AI literacy, culture &amp; training across the organisation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x:t>
  </x:si>
  <x:si>
    <x:t xml:space="preserve">Procedure: MAS v0.4 bespoke. Elements/boundary: archetype training_competency — DRAFT, requirement text not yet written</x:t>
  </x:si>
  <x:si>
    <x:t xml:space="preserve">2. AI Risk Mgmt Systems &amp; Processes</x:t>
  </x:si>
  <x:si>
    <x:t xml:space="preserve">M2.1</x:t>
  </x:si>
  <x:si>
    <x:t xml:space="preserve">Consistent identification of where AI is used</x:t>
  </x:si>
  <x:si>
    <x:t xml:space="preserve">GOVERN 1.6; MAP 1.1</x:t>
  </x:si>
  <x:si>
    <x:t xml:space="preserve">AI identification procedure</x:t>
  </x:si>
  <x:si>
    <x:t xml:space="preserve">D1. Inspect the AI intake/identification procedure.
D2. Confirm it defines what constitutes an AI use case, scope/exclusions, entry triggers, required intake fields, ownership and the point at which a use case must enter governance.
D3. Confirm the process prevents unregistered AI from bypassing triage. PASS when identification criteria, triggers and routing are explicit and controlled; FAIL when material AI use can enter production without identification; NOT TESTABLE when the procedure cannot be evidenced.</x:t>
  </x:si>
  <x:si>
    <x:t xml:space="preserve">O1. Reconcile a sample of new projects, model procurements, production deployments and material changes to the AI inventory/intake records.
O2. Identify unmatched items and trace whether they were intentionally out of scope or missed.
O3. Verify required intake fields and triage occurred before the relevant lifecycle gate. PASS when sampled AI activity is consistently identified and routed; FAIL when material AI use is missing or entered governance too late; NOT TESTABLE when source populations cannot be reconciled.</x:t>
  </x:si>
  <x:si>
    <x:t xml:space="preserve">PA 2, PA 7</x:t>
  </x:si>
  <x:si>
    <x:t xml:space="preserve">e1. A register covering Consistent identification of where AI is used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x:t>
  </x:si>
  <x:si>
    <x:t xml:space="preserve">Procedure: MAS v0.4 bespoke. Elements/boundary: archetype register_inventory — DRAFT, requirement text not yet written</x:t>
  </x:si>
  <x:si>
    <x:t xml:space="preserve">M2.2</x:t>
  </x:si>
  <x:si>
    <x:t xml:space="preserve">AI inventory — central register of models / use-cases / dependencies</x:t>
  </x:si>
  <x:si>
    <x:t xml:space="preserve">A.4.2; A.4.3; A.4.4; A.4.5</x:t>
  </x:si>
  <x:si>
    <x:t xml:space="preserve">AI inventory register</x:t>
  </x:si>
  <x:si>
    <x:t xml:space="preserve">D1. Inspect the central AI inventory schema and procedure.
D2. Confirm required fields include, as applicable, system/model and version, use case, owner, dependencies, data, risk tier, lifecycle state, deployment environment and key control links.
D3. Confirm change/update rules, ownership and stale-record handling are defined. PASS when the inventory is central, complete-by-design, attributable and maintained under controlled rules; FAIL when required fields or update controls are missing; NOT TESTABLE when no controlled inventory exists.</x:t>
  </x:si>
  <x:si>
    <x:t xml:space="preserve">O1. Reconcile the inventory to a sample of active production systems, development projects and recent deployments/changes.
O2. Test uniqueness, completeness, current lifecycle state and version/use-case linkage.
O3. Inspect stale records and confirm remediation/escalation. PASS when the inventory population is accurate and reconciles to operational reality; FAIL when duplicate, stale or materially missing records exist without disposition; NOT TESTABLE when the operational population is unavailable.</x:t>
  </x:si>
  <x:si>
    <x:t xml:space="preserve">e1. A register covering AI inventory — central register of models / use-cases / dependencies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x:t>
  </x:si>
  <x:si>
    <x:t xml:space="preserve">M2.3</x:t>
  </x:si>
  <x:si>
    <x:t xml:space="preserve">Risk materiality assessment (impact, complexity, reliance; inherent &amp; residual)</x:t>
  </x:si>
  <x:si>
    <x:t xml:space="preserve">A.5.2; A.5.3; A.5.4; A.5.5</x:t>
  </x:si>
  <x:si>
    <x:t xml:space="preserve">MAP 2.2; MAP 3.2; MAP 5.1; MEASURE 1.1</x:t>
  </x:si>
  <x:si>
    <x:t xml:space="preserve">Risk materiality assessment record</x:t>
  </x:si>
  <x:si>
    <x:t xml:space="preserve">Play 1, 2, 8</x:t>
  </x:si>
  <x:si>
    <x:t xml:space="preserve">MGF D1.1, D1.2 | SAFR S1.5</x:t>
  </x:si>
  <x:si>
    <x:t xml:space="preserve">D1. Inspect the materiality methodology and scoring model.
D2. Confirm defined criteria cover impact, complexity and reliance and distinguish inherent from residual risk.
D3. Confirm scoring rules, thresholds, approval roles, evidence requirements and recalculation/change triggers are documented. PASS when the methodology is reproducible, approved and linked to routing/approval decisions; FAIL when scores depend on undocumented judgement or lack thresholds/ownership; NOT TESTABLE when the methodology cannot be evidenced.</x:t>
  </x:si>
  <x:si>
    <x:t xml:space="preserve">O1. Sample low-, medium- and high-materiality AI use cases.
O2. Independently recalculate the score from the recorded factors and verify the resulting route agrees with the approved methodology.
O3. Check that residual risk reflects implemented controls and that material changes trigger reassessment. PASS when sampled scores are reproducible, correctly routed and current; FAIL when scoring or routing is inconsistent with the methodology; NOT TESTABLE when required source data is absent.</x:t>
  </x:si>
  <x:si>
    <x:t xml:space="preserve">PA 6</x:t>
  </x:si>
  <x:si>
    <x:t xml:space="preserve">e1. An approved methodology for Risk materiality assessment (impact, complexity, reliance; inherent &amp; residual)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</x:si>
  <x:si>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Procedure: MAS v0.4 bespoke. Elements/boundary: archetype assessment_classification — DRAFT, requirement text not yet written</x:t>
  </x:si>
  <x:si>
    <x:t xml:space="preserve">M2.4</x:t>
  </x:si>
  <x:si>
    <x:t xml:space="preserve">AI risk identification &amp; assessment across the lifecycle</x:t>
  </x:si>
  <x:si>
    <x:t xml:space="preserve">A.5.2; A.5.3</x:t>
  </x:si>
  <x:si>
    <x:t xml:space="preserve">MAP 4.1; MAP 5.1; MANAGE 1.1; MANAGE 1.2</x:t>
  </x:si>
  <x:si>
    <x:t xml:space="preserve">Lifecycle risk register</x:t>
  </x:si>
  <x:si>
    <x:t xml:space="preserve">D1. Inspect the lifecycle risk-assessment procedure and risk-register template.
D2. Confirm required stages span design/development, validation, deployment and post-deployment/decommissioning as applicable, with risk owners, controls, inherent/residual risk, due dates and escalation.
D3. Confirm linkage to materiality, change and monitoring triggers. PASS when lifecycle coverage, ownership and update triggers are explicit; FAIL when material lifecycle stages or risk treatment are absent; NOT TESTABLE when the controlled lifecycle risk process is unavailable.</x:t>
  </x:si>
  <x:si>
    <x:t xml:space="preserve">O1. Select a sample of AI systems at different lifecycle stages and trace their risk register from initiation through current state.
O2. Verify identified risks, mitigations, residual risk, owners, overdue items and changes are updated at lifecycle gates/material events.
O3. Confirm material unresolved risks are escalated or formally accepted. PASS when risk identification/assessment operates throughout the sampled lifecycle; FAIL when registers are stale, incomplete or not linked to lifecycle events; NOT TESTABLE when system-level risk records cannot be obtained.</x:t>
  </x:si>
  <x:si>
    <x:t xml:space="preserve">e1. An approved methodology for AI risk identification &amp; assessment across the lifecycle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</x:si>
  <x:si>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3. AI Lifecycle Controls</x:t>
  </x:si>
  <x:si>
    <x:t xml:space="preserve">M3.1</x:t>
  </x:si>
  <x:si>
    <x:t xml:space="preserve">Data management, quality, representativeness &amp; provenance</x:t>
  </x:si>
  <x:si>
    <x:t xml:space="preserve">A.7.2; A.7.3; A.7.4; A.7.5; A.7.6</x:t>
  </x:si>
  <x:si>
    <x:t xml:space="preserve">MAP 2.3; MEASURE 2.1</x:t>
  </x:si>
  <x:si>
    <x:t xml:space="preserve">Data lineage &amp; quality records</x:t>
  </x:si>
  <x:si>
    <x:t xml:space="preserve">D1. Inspect the data management standard and lineage/quality procedure.
D2. Confirm requirements address data provenance, lineage, quality dimensions, representativeness, suitability, ownership, access and approval of material exceptions.
D3. Confirm data requirements link to model use case and risk assessment. PASS when design criteria are explicit, attributable and sufficient for the intended use; FAIL when material data quality/provenance or representativeness requirements are undefined; NOT TESTABLE when controlled data criteria are unavailable.</x:t>
  </x:si>
  <x:si>
    <x:t xml:space="preserve">O1. Select representative training/validation/input datasets for a risk-based sample.
O2. Trace provenance/lineage to source, inspect quality metrics and representativeness analysis, and verify material exceptions were approved/mitigated.
O3. Confirm the dataset used by the model matches the approved version/source. PASS when sampled data is traceable, suitable and quality/representativeness issues are controlled; FAIL when provenance is broken or material data issues are unmanaged; NOT TESTABLE when lineage/source evidence is unavailable.</x:t>
  </x:si>
  <x:si>
    <x:t xml:space="preserve">—</x:t>
  </x:si>
  <x:si>
    <x:t xml:space="preserve">e1. In-scope data sources for Data management, quality, representativeness &amp; provenance are identified from the pipeline
e2. Each source has an approved permitted-use basis
e3. Quality attributes have measurable thresholds
e4. Retention and deletion, including in models, indexes and caches, are addressed
e5. New sources require approval before use
e6. Lineage identifies which data version produced a given behaviour</x:t>
  </x:si>
  <x:si>
    <x:t xml:space="preserve">Procedure: MAS v0.4 bespoke. Elements/boundary: archetype data_lifecycle — DRAFT, requirement text not yet written</x:t>
  </x:si>
  <x:si>
    <x:t xml:space="preserve">M3.2</x:t>
  </x:si>
  <x:si>
    <x:t xml:space="preserve">Fairness &amp; bias mitigation</x:t>
  </x:si>
  <x:si>
    <x:t xml:space="preserve">A.5.4; A.7.4</x:t>
  </x:si>
  <x:si>
    <x:t xml:space="preserve">Fairness assessment</x:t>
  </x:si>
  <x:si>
    <x:t xml:space="preserve">D1. Inspect the fairness assessment methodology, thresholds and mitigation standard.
D2. Confirm it identifies relevant affected groups, protected/sensitive attributes where appropriate, fairness metrics, statistical/contextual thresholds, limitations, mitigation and independent review requirements.
D3. Confirm reassessment triggers include material change/drift. PASS when the fairness process is defined, risk-appropriate and independently challengeable; FAIL when fairness criteria or mitigation governance are missing; NOT TESTABLE when the approved methodology cannot be evidenced.</x:t>
  </x:si>
  <x:si>
    <x:t xml:space="preserve">O1. Select a risk-based sample of material AI use cases and inspect fairness assessment reports/metric results.
O2. Verify metrics were calculated on relevant populations, compared to approved thresholds, and any breaches triggered mitigation or escalation.
O3. For live systems, inspect drift/event-driven re-tests and confirm findings were resolved or accepted. PASS when fairness testing operates at the required cadence with evidence-backed remediation; FAIL when required tests, thresholds or remediation are missing; NOT TESTABLE when relevant population/metrics cannot be reproduced.</x:t>
  </x:si>
  <x:si>
    <x:t xml:space="preserve">e1. An approved validation or evaluation method for Fairness &amp; bias mitigation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</x:si>
  <x:si>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Procedure: MAS v0.4 bespoke. Elements/boundary: archetype validation_evaluation — DRAFT, requirement text not yet written</x:t>
  </x:si>
  <x:si>
    <x:t xml:space="preserve">M3.3</x:t>
  </x:si>
  <x:si>
    <x:t xml:space="preserve">Transparency &amp; explainability of AI outputs</x:t>
  </x:si>
  <x:si>
    <x:t xml:space="preserve">A.6.2.7; A.8.2</x:t>
  </x:si>
  <x:si>
    <x:t xml:space="preserve">MAP 2.2; MEASURE 2.8; MEASURE 2.9</x:t>
  </x:si>
  <x:si>
    <x:t xml:space="preserve">Model Cards; explainability notes</x:t>
  </x:si>
  <x:si>
    <x:t xml:space="preserve">MGF D2.7, D4.1, D4.2 | SAFR S3.2</x:t>
  </x:si>
  <x:si>
    <x:t xml:space="preserve">D1. Inspect model-card, explainability and transparency standards.
D2. Confirm they define intended audience, material limitations, input/output characteristics, explanation approach, known failure modes and update triggers.
D3. Confirm requirements are proportionate to the use case/materiality and support affected-stakeholder understanding. PASS when transparency design is documented, audience-specific and maintained through change; FAIL when material limitations/explanation requirements are absent; NOT TESTABLE when no controlled transparency artefact exists.</x:t>
  </x:si>
  <x:si>
    <x:t xml:space="preserve">O1. Sample model cards and a corresponding set of actual outputs/use cases.
O2. Verify explanations/disclosures are consistent with the deployed model/version, appropriate to stakeholder needs and available where required.
O3. Inspect changes/releases for timely updates to transparency artefacts. PASS when operating disclosures and explanations match the approved system and are kept current; FAIL when users receive materially inaccurate/outdated information; NOT TESTABLE when actual output/disclosure evidence is unavailable.</x:t>
  </x:si>
  <x:si>
    <x:t xml:space="preserve">e1. A disclosure requirement covering Transparency &amp; explainability of AI outputs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x:t>
  </x:si>
  <x:si>
    <x:t xml:space="preserve">Population: all in-scope channels and interaction types in the period. Evidence floor: fewer than all channels observed, or observation from specification rather than delivery, makes the operating result NOT TESTABLE for the unobserved channels.</x:t>
  </x:si>
  <x:si>
    <x:t xml:space="preserve">F1. Disclosure is present in the main web journey and absent in the app, the call centre script or the partner channel.
F2. Disclosure sits in terms and conditions accepted at onboarding, years before the AI was introduced.
F3. The wording describes an earlier version of the system and overstates or understates what it does.
F4. A human-referral route is promised and the queue behind it is unstaffed.
F5. Evidence is the approved wording document rather than a capture of what the customer actually sees.</x:t>
  </x:si>
  <x:si>
    <x:t xml:space="preserve">F1 → A per-channel capture of the delivered disclosure.
F2 → A disclosure at the point of interaction, dated after the AI introduction.
F3 → A wording review dated after the most recent material system change.
F4 → Response-time evidence for the recourse route.
F5 → A screenshot, recording or transcript from the live channel.</x:t>
  </x:si>
  <x:si>
    <x:t xml:space="preserve">none - no disclosure requirement, or in-scope interactions with no disclosure.
partial - disclosure is required and present in some channels, but coverage, timing or currency is not evidenced.
full - approved, current disclosure is delivered at the right point in every in-scope channel, with any promised recourse demonstrably working.</x:t>
  </x:si>
  <x:si>
    <x:t xml:space="preserve">Procedure: MAS v0.4 bespoke. Elements/boundary: archetype disclosure_transparency — DRAFT, requirement text not yet written</x:t>
  </x:si>
  <x:si>
    <x:t xml:space="preserve">M3.4</x:t>
  </x:si>
  <x:si>
    <x:t xml:space="preserve">Human oversight &amp; intervention</x:t>
  </x:si>
  <x:si>
    <x:t xml:space="preserve">A.9.2; A.9.3; A.9.4</x:t>
  </x:si>
  <x:si>
    <x:t xml:space="preserve">GOVERN 3.2; MAP 3.5</x:t>
  </x:si>
  <x:si>
    <x:t xml:space="preserve">Human oversight policy</x:t>
  </x:si>
  <x:si>
    <x:t xml:space="preserve">MGF D2.3, D2.4, D2.6 | SAFR S2.3</x:t>
  </x:si>
  <x:si>
    <x:t xml:space="preserve">D1. Inspect the human-oversight policy, decision-rights matrix and rollback/kill-switch design.
D2. Confirm the policy defines when human review is mandatory, override/intervention rights, response expectations, escalation, segregation of duties and conditions for disabling the AI system.
D3. Confirm the design addresses automation bias and meaningful—not merely nominal—human control. PASS when oversight thresholds, authority and intervention mechanisms are explicit and testable; FAIL when humans have no effective intervention path; NOT TESTABLE when the approved oversight design cannot be evidenced.</x:t>
  </x:si>
  <x:si>
    <x:t xml:space="preserve">O1. Sample live decisions/use cases requiring human oversight and inspect approval/override logs, response times and escalation records.
O2. Verify prohibited autonomous actions were blocked and intervention mechanisms were usable.
O3. Where controlled testing is available, inspect kill-switch/rollback test results. PASS when human review and intervention operated as designed, including timely overrides/escalation; FAIL when review was bypassed, ineffective or undocumented; NOT TESTABLE when required logs/tests are unavailable.</x:t>
  </x:si>
  <x:si>
    <x:t xml:space="preserve">e1. Oversight points for Human oversight &amp; intervention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x:t>
  </x:si>
  <x:si>
    <x:t xml:space="preserve">Population: all decisions or actions subject to human oversight in the period. Evidence floor: fewer than 10 reviewed items, or no override population, makes the rate analysis NOT TESTABLE.</x:t>
  </x:si>
  <x:si>
    <x:t xml:space="preserve">F1. Approval rate is 100% across thousands of items, which evidences a click-through rather than a review.
F2. The reviewer sees only the recommendation, not the inputs or the uncertainty, so disagreement has no basis.
F3. The override exists but requires a path longer than the decision window, so it is never used.
F4. Review timestamps cluster in batches seconds apart, inconsistent with individual consideration.
F5. The human is accountable in the policy but the system proceeds automatically on no response.
F6. Overrides are recorded but the system took the original action anyway.</x:t>
  </x:si>
  <x:si>
    <x:t xml:space="preserve">F1 → The override and rejection rate with a distribution, plus an explanation for a near-zero rate.
F2 → A screenshot or specification of what the reviewer is shown, including uncertainty.
F3 → An override performed within the decision window, with timings.
F4 → Per-item review timestamps and durations.
F5 → A default-on-no-response rule that halts rather than proceeds, with evidence of it operating.
F6 → System evidence that an override changed the outcome.</x:t>
  </x:si>
  <x:si>
    <x:t xml:space="preserve">none - no defined human authority over the outcome, or oversight that cannot change anything.
partial - oversight points are defined and operating but information sufficiency, timing or genuine disagreement is not evidenced.
full - reviewers act before the action with sufficient information, a usable override, reasoned records, and a disagreement rate consistent with real review.</x:t>
  </x:si>
  <x:si>
    <x:t xml:space="preserve">Procedure: MAS v0.4 bespoke. Elements/boundary: archetype human_oversight — DRAFT, requirement text not yet written</x:t>
  </x:si>
  <x:si>
    <x:t xml:space="preserve">M3.5</x:t>
  </x:si>
  <x:si>
    <x:t xml:space="preserve">Model &amp; feature selection</x:t>
  </x:si>
  <x:si>
    <x:t xml:space="preserve">A.4.4; A.6.2.2; A.6.2.3</x:t>
  </x:si>
  <x:si>
    <x:t xml:space="preserve">MAP 2.1; MAP 3.3</x:t>
  </x:si>
  <x:si>
    <x:t xml:space="preserve">Model selection rationale</x:t>
  </x:si>
  <x:si>
    <x:t xml:space="preserve">MGF D1.3, D1.4 | SAFR S4.1</x:t>
  </x:si>
  <x:si>
    <x:t xml:space="preserve">D1. Inspect the model/feature selection standard and decision template.
D2. Confirm selection criteria address intended use, performance, data suitability, fairness, explainability, security, operational constraints and relevant alternatives.
D3. Confirm decision rationale and approval are retained with version traceability. PASS when selection criteria and rationale are objective, documented and attributable; FAIL when material selection decisions are undocumented or untraceable; NOT TESTABLE when controlled selection records cannot be obtained.</x:t>
  </x:si>
  <x:si>
    <x:t xml:space="preserve">O1. Sample newly developed or materially changed models/features.
O2. Trace the selected model/feature set to the documented rationale, approved requirements and deployed version.
O3. Verify deviations from the approved choice were re-assessed/approved. PASS when sampled production choices match approved rationale and version; FAIL when unapproved model/feature substitutions occur; NOT TESTABLE when deployed version/source evidence cannot be reconciled.</x:t>
  </x:si>
  <x:si>
    <x:t xml:space="preserve">e1. An approved methodology for Model &amp; feature selection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</x:si>
  <x:si>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M3.6</x:t>
  </x:si>
  <x:si>
    <x:t xml:space="preserve">Evaluation, testing &amp; independent validation</x:t>
  </x:si>
  <x:si>
    <x:t xml:space="preserve">MEASURE 1.3; MEASURE 2.3; MEASURE 2.5</x:t>
  </x:si>
  <x:si>
    <x:t xml:space="preserve">Validation &amp; test reports</x:t>
  </x:si>
  <x:si>
    <x:t xml:space="preserve">MGF D4.5</x:t>
  </x:si>
  <x:si>
    <x:t xml:space="preserve">D1. Inspect the evaluation/testing standard, acceptance criteria and independent-validation procedure.
D2. Confirm testing covers relevant performance, robustness, fairness, security, explainability and failure-mode dimensions, with risk-based thresholds and evidence-retention requirements.
D3. Confirm independent validation is required where materiality warrants it and that unresolved defects block or condition release. PASS when the evaluation and validation design is risk-based, measurable and independent where required; FAIL when material tests/thresholds or independence are absent; NOT TESTABLE when no controlled test methodology exists.</x:t>
  </x:si>
  <x:si>
    <x:t xml:space="preserve">O1. Select a risk-based sample of validation packages, including at least one high-materiality system where available.
O2. Reconcile test scope to approved requirements, review results against thresholds, inspect defects/exceptions and confirm independent validation sign-off.
O3. Verify failed/conditional tests resulted in remediation, restricted release or documented approval under policy. PASS when tests were executed as designed and release decisions reflect results; FAIL when material tests were skipped, thresholds ignored or independence bypassed; NOT TESTABLE when validation evidence is incomplete.</x:t>
  </x:si>
  <x:si>
    <x:t xml:space="preserve">PA 1, PA 11</x:t>
  </x:si>
  <x:si>
    <x:t xml:space="preserve">e1. Evaluation results exist for the specific model version, measured against pre-defined metrics on representative held-out data
e2. Testing covers behaviour under conditions the model will meet — robustness, stress, edge case, bias and fairness, adversarial and security testing, and integration or UAT in a production-like environment
e3. Validation was performed by someone who did not build the model
e3b. The review covers conceptual soundness, replication, and whether the developer's own evaluation and testing were adequate
e4. The validator is separate from the developing function, with no reporting line into it, and the person who signs the opinion is named
e4b. The validator is separate from the business owner of the use case
e5. A validation outcome is recorded and dated
e5d. The recorded date precedes the production go-live date, and both dates are evidenced
e5b. The validation outcome is recorded against a named accountable person
e5c. The validation outcome states limitations, conditions of use and residual risk accepted
e6. The depth of validation is proportionate to the model's materiality, tiered on impact, complexity and reliance  [programme scope]
e7. Re-validation triggers are defined — material change, model or version upgrade including vendor-pushed updates, drift threshold breach, data source change, incident, and a periodic cadence by tier  [programme scope]
e8. Third-party models are validated at use-case and system level — own evaluation set, benchmarking, guardrail testing, vendor attestations, and a contractual right to change notification  [programme scope]</x:t>
  </x:si>
  <x:si>
    <x:t xml:space="preserve">none - A testing standard, validation plan or intent, with no evaluation or test results
partial - Results exist but independence is absent or not evidenced (e3, e4). Reciprocal peer review inside the developing team is partial credit, not independence
full - Every model-scoped element evidenced. Conditions, exceptions or open items recorded in the validator's own opinion do not prevent full — they evidence that the control operates</x:t>
  </x:si>
  <x:si>
    <x:t xml:space="preserve">Bespoke — requirements/mas.yaml v1 (AIRG Consultation Paper P017-2025 (known); AI MRM Paper (Dec 2024) (known)). Procedure: MAS v0.4 bespoke.</x:t>
  </x:si>
  <x:si>
    <x:t xml:space="preserve">M3.7</x:t>
  </x:si>
  <x:si>
    <x:t xml:space="preserve">Technology &amp; cybersecurity controls</x:t>
  </x:si>
  <x:si>
    <x:t xml:space="preserve">A.4.5; A.6.2.3</x:t>
  </x:si>
  <x:si>
    <x:t xml:space="preserve">Security test results</x:t>
  </x:si>
  <x:si>
    <x:t xml:space="preserve">MGF D3.1, D3.2, D3.3, D3.7 | SAFR S1.3, S1.4, S4.2</x:t>
  </x:si>
  <x:si>
    <x:t xml:space="preserve">D1. Inspect AI security architecture/standards, threat model, secure-development requirements, access controls and security-testing criteria.
D2. Confirm requirements address model/data access, secrets, supply-chain/vendor risk, adversarial threats, vulnerabilities and monitoring.
D3. Confirm severity thresholds and remediation/exception rules are defined. PASS when security design addresses AI-specific and conventional technology risks with clear ownership and thresholds; FAIL when material security risks or remediation criteria are undefined; NOT TESTABLE when controlled security requirements are unavailable.</x:t>
  </x:si>
  <x:si>
    <x:t xml:space="preserve">O1. Sample security test packs for deployed/high-materiality AI systems, including vulnerability assessments, penetration/red-team results and access reviews as applicable.
O2. Verify findings were triaged, remediated within required timelines or formally accepted, and that deployed configuration matches the tested version.
O3. Check security incidents/alerts were linked back to the AI system and controls. PASS when security controls operated and material findings were addressed; FAIL when material vulnerabilities were unaddressed or tested versions differ materially from deployed versions; NOT TESTABLE when evidence is insufficient.</x:t>
  </x:si>
  <x:si>
    <x:t xml:space="preserve">PA 1, PA 3, PA 8, PA 11</x:t>
  </x:si>
  <x:si>
    <x:t xml:space="preserve">e1. A named AI security threat set is defined and used to test the model or AI system for model-specific threats relevant to its deployment
e2. Security testing is completed before deployment and material findings are tracked to closure or formally accepted risk
e3. The runtime's actual network, data-store or privileged reachability is tested against the intended security boundary, not only against configured identities or policy intent
e4. Security testing or validation is repeated after the material change before re-release</x:t>
  </x:si>
  <x:si>
    <x:t xml:space="preserve">none - Generic cybersecurity policy or product-security statements with no AI-specific testing
partial - Security testing exists, but model-specific coverage, runtime reachability or change-triggered re-testing is incomplete
full - Applicable security elements are evidenced for the deployed model/system and material-change re-testing is performed where the condition applies</x:t>
  </x:si>
  <x:si>
    <x:t xml:space="preserve">Bespoke — requirements/mas.yaml v1 (AIRG Consultation Paper P017-2025 (unchecked)). Procedure: MAS v0.4 bespoke.</x:t>
  </x:si>
  <x:si>
    <x:t xml:space="preserve">M3.8</x:t>
  </x:si>
  <x:si>
    <x:t xml:space="preserve">Reproducibility, auditability, logging &amp; audit trails</x:t>
  </x:si>
  <x:si>
    <x:t xml:space="preserve">AIRG Consultation Paper P017-2025 (Nov 2025, proposed); MindForge AI Risk Mgmt Toolkit (Mar 2026)</x:t>
  </x:si>
  <x:si>
    <x:t xml:space="preserve">A.4.4; A.6.2.8</x:t>
  </x:si>
  <x:si>
    <x:t xml:space="preserve">MEASURE 2.1; MANAGE 4.1</x:t>
  </x:si>
  <x:si>
    <x:t xml:space="preserve">Logging standards; audit trail</x:t>
  </x:si>
  <x:si>
    <x:t xml:space="preserve">MGF D3.6, D3.13 | SAFR S3.1, S3.2, S3.4</x:t>
  </x:si>
  <x:si>
    <x:t xml:space="preserve">D1. Inspect logging/audit-trail standards.
D2. Confirm required events include, where relevant, actor, timestamp, model/system/version, key configuration/change, decision/output and override/exception events, with retention, integrity and access controls defined.
D3. Confirm logging requirements support reconstruction of material AI decisions and changes. PASS when the logging design is complete, protected and reconstructable for the intended use; FAIL when material events cannot be reconstructed; NOT TESTABLE when no approved logging standard exists.</x:t>
  </x:si>
  <x:si>
    <x:t xml:space="preserve">O1. For a risk-based sample of decisions, changes and incidents, attempt to reconstruct what happened from retained logs.
O2. Verify timestamps/order, actor, system/version and decision/override details are present and consistent with source records.
O3. Check retention, access and any detected logging gaps. PASS when sampled events are reconstructable and retained as required; FAIL when material audit-trail gaps prevent reconstruction; NOT TESTABLE when logs are unavailable or the system is not yet operating.</x:t>
  </x:si>
  <x:si>
    <x:t xml:space="preserve">e1. A logging or traceability design covering Reproducibility, auditability, logging &amp; audit trails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x:t>
  </x:si>
  <x:si>
    <x:t xml:space="preserve">Procedure: MAS v0.4 bespoke. Elements/boundary: archetype logging_traceability — DRAFT, requirement text not yet written</x:t>
  </x:si>
  <x:si>
    <x:t xml:space="preserve">M3.9</x:t>
  </x:si>
  <x:si>
    <x:t xml:space="preserve">Pre-deployment review &amp; approval (release criteria)</x:t>
  </x:si>
  <x:si>
    <x:t xml:space="preserve">MANAGE 1.1; MEASURE 2.3</x:t>
  </x:si>
  <x:si>
    <x:t xml:space="preserve">Release approval record</x:t>
  </x:si>
  <x:si>
    <x:t xml:space="preserve">D1. Inspect the release-gate policy/checklist.
D2. Confirm mandatory pre-deployment criteria include applicable validation results, risk assessment, human-oversight readiness, security, monitoring, rollback and required approvals, with clear blocking conditions.
D3. Confirm no-deploy/bypass rules and emergency-release handling are defined. PASS when release criteria are explicit, version-specific and approval-controlled; FAIL when production deployment can occur without satisfying mandatory gates; NOT TESTABLE when no controlled release-gate artefact exists.</x:t>
  </x:si>
  <x:si>
    <x:t xml:space="preserve">O1. Select a sample of recent production releases and trace each from final tested/versioned artefact through release checklist, approval and deployment timestamp.
O2. Verify mandatory criteria were met before deployment and any exceptions were approved by the required authority.
O3. Inspect emergency releases for retrospective testing/approval. PASS when sampled releases demonstrate gate compliance and authorised exceptions; FAIL when bypasses or approvals-after-deployment occur without governed emergency treatment; NOT TESTABLE when release/deployment evidence cannot be reconciled.</x:t>
  </x:si>
  <x:si>
    <x:t xml:space="preserve">e1. Objective release criteria and required evidence are defined before deployment
e2. The authorised approver reviews the release evidence and accepts or rejects residual risk
e3. The approval is attributable to a named person or role and is recorded before the first production action
e4. Required independent validation or FEAT sign-off is complete before release</x:t>
  </x:si>
  <x:si>
    <x:t xml:space="preserve">none - A release checklist or intent exists but no attributable production approval is evidenced
partial - Release approval is evidenced, but one or more objective criteria, timing, authority or high-materiality prerequisite is not demonstrated
full - All applicable release criteria are met, required evidence is reviewed, and attributable approval predates production action</x:t>
  </x:si>
  <x:si>
    <x:t xml:space="preserve">M3.10</x:t>
  </x:si>
  <x:si>
    <x:t xml:space="preserve">Post-deployment monitoring (drift, dashboards, revalidation, backtesting)</x:t>
  </x:si>
  <x:si>
    <x:t xml:space="preserve">AI MRM Paper (Dec 2024); AIRG Consultation Paper P017-2025 (Nov 2025, proposed); MindForge AI Risk Mgmt Toolkit (Mar 2026)</x:t>
  </x:si>
  <x:si>
    <x:t xml:space="preserve">MEASURE 2.4; MEASURE 3.1; MANAGE 4.1</x:t>
  </x:si>
  <x:si>
    <x:t xml:space="preserve">Monitoring dashboards</x:t>
  </x:si>
  <x:si>
    <x:t xml:space="preserve">Play 5, 11</x:t>
  </x:si>
  <x:si>
    <x:t xml:space="preserve">MGF D3.11, D3.12, D3.14 | SAFR S2.5, S3.5</x:t>
  </x:si>
  <x:si>
    <x:t xml:space="preserve">D1. Inspect the post-deployment monitoring standard and dashboard design.
D2. Confirm defined metrics/thresholds cover performance, drift, fairness where relevant, usage outside intended scope, incidents and revalidation/backtesting triggers.
D3. Confirm alert ownership, response SLAs, review cadence and escalation are defined. PASS when monitoring is risk-based, measurable and linked to action; FAIL when material drift/risk indicators or response rules are undefined; NOT TESTABLE when no controlled monitoring design exists.</x:t>
  </x:si>
  <x:si>
    <x:t xml:space="preserve">O1. Review monitoring records across the latest required period and sample threshold breaches.
O2. Verify alerts were detected, investigated and escalated within the defined cadence, with revalidation/backtesting/change/retirement decisions where triggered.
O3. Confirm dashboards represent the deployed model/version and intended-use population. PASS when monitoring operated continuously/at the required cadence and breaches drove documented actions; FAIL when material alerts were missed, ignored or unresolved; NOT TESTABLE when the operating monitoring population cannot be evidenced.</x:t>
  </x:si>
  <x:si>
    <x:t xml:space="preserve">e1. Metrics and thresholds for Post-deployment monitoring (drift, dashboards, revalidation, backtesting)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</x:si>
  <x:si>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Procedure: MAS v0.4 bespoke. Elements/boundary: archetype monitoring_detection — DRAFT, requirement text not yet written</x:t>
  </x:si>
  <x:si>
    <x:t xml:space="preserve">M3.11</x:t>
  </x:si>
  <x:si>
    <x:t xml:space="preserve">Incident management &amp; escalation</x:t>
  </x:si>
  <x:si>
    <x:t xml:space="preserve">A.3.3; A.8.4</x:t>
  </x:si>
  <x:si>
    <x:t xml:space="preserve">GOVERN 4.3; MEASURE 3.3; MANAGE 4.3</x:t>
  </x:si>
  <x:si>
    <x:t xml:space="preserve">Incident playbook</x:t>
  </x:si>
  <x:si>
    <x:t xml:space="preserve">Regulatory notification trigger — FSM-N05 (Technology Risk Management, eff. 10 May 2024; supersedes Notices 644/127/PSN05): notify MAS ≤1 hour of discovering a “relevant incident” (severe/widespread operational or material customer-service impact); root-cause &amp; impact report ≤14 days; 4-hour RTO for critical systems. Confirm exact FSM notice reference for the licence type. (MAS Notice 655 Cyber Hygiene is separate.)</x:t>
  </x:si>
  <x:si>
    <x:t xml:space="preserve">MGF D3.15, D3.16 | SAFR S2.4, S3.5</x:t>
  </x:si>
  <x:si>
    <x:t xml:space="preserve">D1. Inspect the AI incident playbook, severity taxonomy, escalation matrix and regulatory-notification procedure.
D2. Confirm roles, containment, evidence preservation, root-cause analysis, customer/stakeholder communications, lessons learned and notification decision criteria are defined, including reference to the currently applicable MAS notice/licence obligations.
D3. Confirm required response/reporting timelines are explicit where applicable. PASS when the incident design is complete, attributable and time-bound; FAIL when material response or notification decisions are undefined; NOT TESTABLE when no controlled incident process exists.</x:t>
  </x:si>
  <x:si>
    <x:t xml:space="preserve">O1. Select a sample of AI incidents/near misses and trace detection, logging, severity classification, escalation, containment, notification decision, RCA and remediation.
O2. Verify timestamps against applicable internal and regulatory timelines and confirm reasons for any non-notification decision.
O3. Inspect whether lessons learned updated controls/tests where appropriate. PASS when incidents were handled, escalated and closed under the playbook and applicable regulatory obligations; FAIL when material response/notification steps were missed; NOT TESTABLE when incident records are absent or incomplete.</x:t>
  </x:si>
  <x:si>
    <x:t xml:space="preserve">PA 10</x:t>
  </x:si>
  <x:si>
    <x:t xml:space="preserve">e1. The incident playbook defines what constitutes an AI incident and distinguishes model-behaviour incidents from ordinary application defects  [programme scope]
e2. Incident roles, escalation authority, response records and recovery expectations are assigned and documented  [programme scope]
e3. Applicable external notification obligations and deadlines are identified for the relevant licence, service and system criticality  [programme scope]
e4. Separate notification paths and clocks are identified and tested independently  [programme scope]</x:t>
  </x:si>
  <x:si>
    <x:t xml:space="preserve">none - A general incident-management policy exists with no AI-specific classification or escalation path
partial - AI incidents and escalation are documented, but one or more notification, recovery or separately regulated path is incomplete
full - Applicable AI incident classification, accountability, escalation, notification and recovery obligations are documented and attributable, including separate regulatory paths where applicable</x:t>
  </x:si>
  <x:si>
    <x:t xml:space="preserve">M3.12</x:t>
  </x:si>
  <x:si>
    <x:t xml:space="preserve">Change management</x:t>
  </x:si>
  <x:si>
    <x:t xml:space="preserve">A.6.2.2; A.6.2.6</x:t>
  </x:si>
  <x:si>
    <x:t xml:space="preserve">MANAGE 2.2; MANAGE 4.2</x:t>
  </x:si>
  <x:si>
    <x:t xml:space="preserve">Change records</x:t>
  </x:si>
  <x:si>
    <x:t xml:space="preserve">D1. Inspect the AI change-management policy and change taxonomy.
D2. Confirm changes are categorised by materiality and require impact assessment, testing/validation, approval, implementation recording, rollback/emergency handling and post-implementation verification as applicable.
D3. Confirm separation of requester/approver, version traceability and retrospective approval rules for emergency changes. PASS when the design covers the full change lifecycle and prevents uncontrolled deployment; FAIL when material changes can bypass assessment/approval/testing; NOT TESTABLE when no controlled change process exists.</x:t>
  </x:si>
  <x:si>
    <x:t xml:space="preserve">O1. Use the authoritative change-register population for the review period.
O2. Check population integrity (unique IDs, completeness, required fields) and sample changes across materiality tiers.
O3. For each sample, verify approval occurred before implementation, tested/versioned artefact matches deployment, emergency changes followed the exception path, and post-implementation verification was recorded. PASS when sampled and population-level checks support effective change control; FAIL when duplicate/stale/incomplete records or approval-after-deployment undermine control effectiveness; NOT TESTABLE when the source population is unavailable/incomplete.</x:t>
  </x:si>
  <x:si>
    <x:t xml:space="preserve">PA 5</x:t>
  </x:si>
  <x:si>
    <x:t xml:space="preserve">e0. The change register is complete and internally consistent — no duplicate change ids, no unexplained gaps in the sequence, and entries current with the changes actually made  [lane B — tested deterministically]
e1. Model changes are raised as changes, including scheduled retraining
e2. Authorisation is recorded before the first production action, including for emergency changes, evidenced by an approval timestamp and a production-action timestamp comparable to the minute
e3. Privileged access used to implement the change is obtained against the approved change number, with no use of standing accounts
e3b. The person who used that access is a named implementer on the approved change
e4. Production state after implementation is verified against the approved plan, with deviations approved rather than closed silently</x:t>
  </x:si>
  <x:si>
    <x:t xml:space="preserve">none - A procedure, target operating model or intent, with no change records
partial - Change records exist and cover the AI estate, but one or more of e0, e2, e3, e3b or e4 does not operate consistently across the tested population
full - All applicable model-scoped elements evidenced across a tested population. An element whose applies_when condition is not met is recorded as not applicable with the reason, and does not count against the rating — a control managed adequately by other means is not a gap. Observations or housekeeping findings recorded in an assurance review do not prevent full</x:t>
  </x:si>
  <x:si>
    <x:t xml:space="preserve">M3.13</x:t>
  </x:si>
  <x:si>
    <x:t xml:space="preserve">Decommissioning / safe phase-out</x:t>
  </x:si>
  <x:si>
    <x:t xml:space="preserve">GOVERN 1.7; MANAGE 2.4</x:t>
  </x:si>
  <x:si>
    <x:t xml:space="preserve">Decommissioning checklist</x:t>
  </x:si>
  <x:si>
    <x:t xml:space="preserve">D1. Inspect the decommissioning/safe-phase-out procedure.
D2. Confirm criteria cover dependency/impact analysis, access/credential removal, data retention/disposal, customer/stakeholder communication where needed, documentation/log archiving and inventory closure.
D3. Confirm required approvals and evidence retention are defined. PASS when safe phase-out steps and responsibilities are explicit; FAIL when material dependencies, data or access risks are not addressed; NOT TESTABLE when no controlled decommissioning procedure exists.</x:t>
  </x:si>
  <x:si>
    <x:t xml:space="preserve">O1. Sample retired/replaced AI systems from the inventory and trace the decommissioning record.
O2. Verify dependent services/users were addressed, access/credentials removed, data disposition followed policy, logs/documentation archived and inventory status updated.
O3. Check for residual production endpoints or stale entries. PASS when sampled systems were fully and safely decommissioned; FAIL when access, data, dependencies or inventory were left unresolved; NOT TESTABLE when the retirement population cannot be reconciled.</x:t>
  </x:si>
  <x:si>
    <x:t xml:space="preserve">PA 7</x:t>
  </x:si>
  <x:si>
    <x:t xml:space="preserve">e1. An approved change or release procedure covering Decommissioning / safe phase-out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</x:si>
  <x:si>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Procedure: MAS v0.4 bespoke. Elements/boundary: archetype change_release — DRAFT, requirement text not yet written</x:t>
  </x:si>
  <x:si>
    <x:t xml:space="preserve">M3.14</x:t>
  </x:si>
  <x:si>
    <x:t xml:space="preserve">Third-party / vendor AI risk management</x:t>
  </x:si>
  <x:si>
    <x:t xml:space="preserve">A.10.2; A.10.3; A.10.4</x:t>
  </x:si>
  <x:si>
    <x:t xml:space="preserve">GOVERN 6.1; GOVERN 6.2; MAP 4.1; MANAGE 3.1; MANAGE 3.2</x:t>
  </x:si>
  <x:si>
    <x:t xml:space="preserve">Vendor due diligence; contract clauses</x:t>
  </x:si>
  <x:si>
    <x:t xml:space="preserve">MGF D1.6, D3.9 | SAFR S4.4, S4.5</x:t>
  </x:si>
  <x:si>
    <x:t xml:space="preserve">D1. Inspect vendor/foundation-model due-diligence standards, procurement controls and contract templates.
D2. Confirm requirements address responsible-AI posture, data/IP rights, security, limitations, change/version notification, audit rights, responsibility allocation, concentration and exit/transition.
D3. Confirm ownership and reassessment triggers are defined. PASS when third-party risk criteria and contractual protections are explicit and approved; FAIL when material vendor risks lack ownership or contractual control; NOT TESTABLE when vendor governance artefacts are unavailable.</x:t>
  </x:si>
  <x:si>
    <x:t xml:space="preserve">O1. Sample material third-party AI providers/models and inspect due diligence, contract terms, current version and ongoing monitoring.
O2. Verify material vendor/model changes triggered reassessment, change notification and approval where required.
O3. Inspect concentration/exit considerations and any vendor incidents. PASS when sampled vendor relationships operate under current due diligence, enforceable responsibilities and change controls; FAIL when material vendor changes/risks are unmanaged; NOT TESTABLE when supplier records cannot be reconciled.</x:t>
  </x:si>
  <x:si>
    <x:t xml:space="preserve">PA 3</x:t>
  </x:si>
  <x:si>
    <x:t xml:space="preserve">e1. Third-party requirements covering Third-party / vendor AI risk management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</x:si>
  <x:si>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Procedure: MAS v0.4 bespoke. Elements/boundary: archetype third_party — DRAFT, requirement text not yet written</x:t>
  </x:si>
  <x:si>
    <x:t xml:space="preserve">M3.15</x:t>
  </x:si>
  <x:si>
    <x:t xml:space="preserve">Generative AI &amp; AI-agent risks (hallucination, autonomy, adversarial, concentration)</x:t>
  </x:si>
  <x:si>
    <x:t xml:space="preserve">A.5.5; A.6.2.6</x:t>
  </x:si>
  <x:si>
    <x:t xml:space="preserve">MAP 5.1; MEASURE 2.6; MEASURE 2.7; MANAGE 2.3</x:t>
  </x:si>
  <x:si>
    <x:t xml:space="preserve">GenAI/ agent risk assessment</x:t>
  </x:si>
  <x:si>
    <x:t xml:space="preserve">AGENTIC HINGE → MGF: all D1–D4 | SAFR: all S1–S4</x:t>
  </x:si>
  <x:si>
    <x:t xml:space="preserve">D1. Inspect the GenAI/agent risk-assessment methodology.
D2. Confirm it explicitly considers hallucination/error, autonomy/tool use, prompt injection/adversarial abuse, data leakage, concentration/dependency, misuse and human-oversight risks, with risk-specific controls and thresholds.
D3. Confirm pre-release red-team/stress-test and ongoing reassessment triggers are defined. PASS when the design covers relevant GenAI/agent-specific risks and control responses; FAIL when material risks or boundaries are omitted; NOT TESTABLE when the approved methodology is unavailable.</x:t>
  </x:si>
  <x:si>
    <x:t xml:space="preserve">O1. Sample GenAI/agent systems in scope and review risk assessments, red-team/stress-test results, action/approval logs and monitoring.
O2. Verify risky actions are bounded, human approval is enforced where required, and material findings are remediated or formally accepted.
O3. Check re-testing after major model/tool/prompt changes and review concentration/vendor dependencies. PASS when agent-specific risks are actively tested and controlled in operation; FAIL when autonomy/adversarial/accuracy risks are unmanaged; NOT TESTABLE when no operating sample is available.</x:t>
  </x:si>
  <x:si>
    <x:t xml:space="preserve">e1. Security or resilience requirements covering Generative AI &amp; AI-agent risks (hallucination, autonomy, adversarial, concentration)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x:t>
  </x:si>
  <x:si>
    <x:t xml:space="preserve">Procedure: MAS v0.4 bespoke. Elements/boundary: archetype security_resilience — DRAFT, requirement text not yet written</x:t>
  </x:si>
  <x:si>
    <x:t xml:space="preserve">4. AI Capability &amp; Capacity</x:t>
  </x:si>
  <x:si>
    <x:t xml:space="preserve">M4.1</x:t>
  </x:si>
  <x:si>
    <x:t xml:space="preserve">Skills, training, resourcing &amp; competency</x:t>
  </x:si>
  <x:si>
    <x:t xml:space="preserve">AI Risk / HR</x:t>
  </x:si>
  <x:si>
    <x:t xml:space="preserve">Capability plan; training records</x:t>
  </x:si>
  <x:si>
    <x:t xml:space="preserve">D1. Inspect the AI capability/competency plan, role matrix and resourcing model.
D2. Confirm required skills, minimum competencies, succession/coverage and role-specific training are defined for model, risk, technology, validation and oversight roles.
D3. Confirm capacity/risk thresholds and escalation for critical vacancies are documented. PASS when capability and resource requirements are explicit and aligned to the risk profile; FAIL when material roles lack competency or capacity expectations; NOT TESTABLE when no controlled capability plan exists.</x:t>
  </x:si>
  <x:si>
    <x:t xml:space="preserve">O1. Compare current role assignments, competency/training records and staffing against the approved role matrix.
O2. Sample critical AI roles and verify required skills, training and delegated authority are current.
O3. Inspect vacancies, contractor dependencies or capacity constraints and verify risk acceptance/remediation. PASS when the organisation has adequate qualified coverage for the sampled AI risk profile; FAIL when material gaps are unmanaged; NOT TESTABLE when staffing/competency records cannot be reconciled.</x:t>
  </x:si>
  <x:si>
    <x:t xml:space="preserve">PA 11</x:t>
  </x:si>
  <x:si>
    <x:t xml:space="preserve">e1. A training or competency requirement covering Skills, training, resourcing &amp; competency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x:t>
  </x:si>
  <x:si>
    <x:t xml:space="preserve">M4.2</x:t>
  </x:si>
  <x:si>
    <x:t xml:space="preserve">Technology infrastructure &amp; tooling capacity</x:t>
  </x:si>
  <x:si>
    <x:t xml:space="preserve">A.4.4; A.4.5</x:t>
  </x:si>
  <x:si>
    <x:t xml:space="preserve">Infrastructure &amp; tooling plan</x:t>
  </x:si>
  <x:si>
    <x:t xml:space="preserve">D1. Inspect the infrastructure/tooling capacity and resilience plan.
D2. Confirm required compute, storage, network, monitoring, security, model-serving, evaluation and governance tooling capacity is defined for expected demand and risk tier.
D3. Confirm performance/resilience thresholds, scaling, continuity and support responsibilities are documented. PASS when capacity and resilience requirements are measurable and owned; FAIL when critical capacity/resilience dependencies are undefined; NOT TESTABLE when no controlled capacity plan exists.</x:t>
  </x:si>
  <x:si>
    <x:t xml:space="preserve">O1. Review recent capacity/performance metrics, incidents, scaling events and service-level results for material AI environments.
O2. Verify resource levels remained within approved thresholds and exceptions triggered scaling/remediation.
O3. Inspect continuity/recovery tests and critical tooling availability. PASS when the deployed environment consistently supports required AI workloads and control processes without material unmanaged capacity risk; FAIL when threshold breaches or tooling failures were not addressed; NOT TESTABLE when operational telemetry is unavailable.</x:t>
  </x:si>
  <x:si>
    <x:t xml:space="preserve">PA 5, PA 11</x:t>
  </x:si>
  <x:si>
    <x:t xml:space="preserve">e1. Security or resilience requirements covering Technology infrastructure &amp; tooling capacity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x:t>
  </x:si>
  <x:si>
    <x:t xml:space="preserve">Cross-cutting: FEAT Principles</x:t>
  </x:si>
  <x:si>
    <x:t xml:space="preserve">F1</x:t>
  </x:si>
  <x:si>
    <x:t xml:space="preserve">Fairness — AIDA decisions do not systematically disadvantage individuals/groups</x:t>
  </x:si>
  <x:si>
    <x:t xml:space="preserve">FEAT (2018)</x:t>
  </x:si>
  <x:si>
    <x:t xml:space="preserve">Compliance</x:t>
  </x:si>
  <x:si>
    <x:t xml:space="preserve">In progress</x:t>
  </x:si>
  <x:si>
    <x:t xml:space="preserve">Fairness Assessment Report (Veritas 3A); fairness-metric results vs thresholds</x:t>
  </x:si>
  <x:si>
    <x:t xml:space="preserve">Annual (high-materiality) + on drift / change</x:t>
  </x:si>
  <x:si>
    <x:t xml:space="preserve">Run per FEAT Assessment Methodology (Veritas-aligned) §A; high-materiality validated per §D. Triggered in Plays 2/3/4; re-tested in Plays 5/8.</x:t>
  </x:si>
  <x:si>
    <x:t xml:space="preserve">Play 2, 3, 4, 5, 8</x:t>
  </x:si>
  <x:si>
    <x:t xml:space="preserve">D1. Inspect the fairness assessment standard and FEAT-aligned methodology.
D2. Confirm it defines affected groups, relevant fairness dimensions/metrics, thresholds, dataset/population requirements, mitigation and independent validation for high-materiality use cases.
D3. Confirm event-driven reassessment triggers for drift/material change are defined. PASS when the design can detect and manage systematic disadvantage for the intended decision context; FAIL when material groups/metrics/thresholds or mitigation are omitted; NOT TESTABLE when no approved fairness method exists.</x:t>
  </x:si>
  <x:si>
    <x:t xml:space="preserve">O1. For the sampled AIDA/use-case population, inspect the latest fairness results against approved thresholds and relevant groups.
O2. Verify breaches/near-breaches triggered mitigation, escalation or restricted use and that re-testing occurred after material change/drift.
O3. Trace any complaints or observed disparities to investigation and remediation. PASS when fairness performance is measured, thresholded and acted upon in operation; FAIL when systematic disadvantage is evidenced without effective response; NOT TESTABLE when the relevant population or metrics cannot be verified.</x:t>
  </x:si>
  <x:si>
    <x:t xml:space="preserve">e1. The affected individuals or groups and the fairness dimensions relevant to the use case are identified before assessment
e2. Fairness measures or qualitative assessment criteria and decision thresholds are defined and supported by appropriate data
e3. Assessment results identify material disparities, limitations and remediation actions, with an accountable reviewer recording the outcome
e4. Independent validation or re-assessment is completed before release or continued use</x:t>
  </x:si>
  <x:si>
    <x:t xml:space="preserve">none - A general fairness statement exists without a use-case-specific assessment
partial - Fairness has been assessed, but measures, affected groups, thresholds, remediation or change-triggered re-assessment is incomplete
full - Applicable fairness assessment elements are evidenced, material findings are addressed or accepted by the accountable reviewer, and required re-assessment has occurred</x:t>
  </x:si>
  <x:si>
    <x:t xml:space="preserve">Bespoke — requirements/mas.yaml v1 (FEAT (2018) (known)). Procedure: MAS v0.4 bespoke.</x:t>
  </x:si>
  <x:si>
    <x:t xml:space="preserve">F2</x:t>
  </x:si>
  <x:si>
    <x:t xml:space="preserve">Ethics — AIDA use aligns with organisational ethical standards</x:t>
  </x:si>
  <x:si>
    <x:t xml:space="preserve">A.2.2; A.5.5</x:t>
  </x:si>
  <x:si>
    <x:t xml:space="preserve">GOVERN 1.2; GOVERN 4.1</x:t>
  </x:si>
  <x:si>
    <x:t xml:space="preserve">Ethics alignment attestation (Veritas 3B)</x:t>
  </x:si>
  <x:si>
    <x:t xml:space="preserve">Annual + on material change</x:t>
  </x:si>
  <x:si>
    <x:t xml:space="preserve">§B — org-level guiding principles set first; confirmed per use case at Play 2. Reflected in M1.2.</x:t>
  </x:si>
  <x:si>
    <x:t xml:space="preserve">Play 2, 4, 8</x:t>
  </x:si>
  <x:si>
    <x:t xml:space="preserve">D1. Inspect organisational ethical principles, prohibited-use criteria and use-case ethics assessment/attestation.
D2. Confirm the design requires ethics review appropriate to materiality and provides escalation where the use conflicts with organisational principles.
D3. Confirm ownership and approval/version controls. PASS when ethical expectations are explicit, use-case applicable and governed; FAIL when material ethical boundaries are absent; NOT TESTABLE when no controlled ethics framework can be evidenced.</x:t>
  </x:si>
  <x:si>
    <x:t xml:space="preserve">O1. Sample material/high-impact AI use cases and inspect ethics alignment assessments or attestations.
O2. Verify the assessed purpose/use matches approved ethical principles and any prohibited/conditional uses, and that exceptions were escalated.
O3. Inspect material changes for refreshed ethics assessment. PASS when the ethical assessment operates consistently and identified concerns are dispositioned; FAIL when use-case evidence conflicts with approved principles without governance action; NOT TESTABLE when the relevant use-case population cannot be established.</x:t>
  </x:si>
  <x:si>
    <x:t xml:space="preserve">e1. An approved, current policy or standard covering Ethics — AIDA use aligns with organisational ethical standards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</x:si>
  <x:si>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F3</x:t>
  </x:si>
  <x:si>
    <x:t xml:space="preserve">Accountability — clear internal &amp; external accountability for AIDA-driven decisions</x:t>
  </x:si>
  <x:si>
    <x:t xml:space="preserve">A.3.2; A.10.2</x:t>
  </x:si>
  <x:si>
    <x:t xml:space="preserve">GOVERN 2.1; GOVERN 2.3</x:t>
  </x:si>
  <x:si>
    <x:t xml:space="preserve">Accountability matrix; internal authorisation record (Veritas 3B)</x:t>
  </x:si>
  <x:si>
    <x:t xml:space="preserve">Annual + on change</x:t>
  </x:si>
  <x:si>
    <x:t xml:space="preserve">§B — includes third-party model accountability (non-delegable). Anchored in M1.1, M1.3.</x:t>
  </x:si>
  <x:si>
    <x:t xml:space="preserve">MGF D1.5, D2.1 | SAFR S1.1, S3.3</x:t>
  </x:si>
  <x:si>
    <x:t xml:space="preserve">D1. Inspect the accountability matrix, internal authorisation records and third-party responsibility model.
D2. Confirm accountable roles cover business owner, model owner, risk/control functions, decision authority, escalation and external/vendor responsibilities, with non-delegable accountability clearly defined.
D3. Confirm approval and record-retention requirements. PASS when accountability is explicit from AI system through decision outcome, including material third-party dependencies; FAIL when responsibility is ambiguous or delegated without retained accountability; NOT TESTABLE when approved accountability artefacts are unavailable.</x:t>
  </x:si>
  <x:si>
    <x:t xml:space="preserve">O1. Sample material AI decisions, releases and third-party model arrangements.
O2. Trace each to named accountable owners, required approvals, escalation paths and decision/authorisation records.
O3. Inspect incidents/complaints to confirm responsibility was clear and exercised. PASS when sampled decisions have identifiable accountable owners and documented authorisation; FAIL when responsibility cannot be established or vendors are treated as replacing internal accountability; NOT TESTABLE when required decision records are unavailable.</x:t>
  </x:si>
  <x:si>
    <x:t xml:space="preserve">e1. The accountable business and AI-risk owners for the use case are named
e2. Decision rights, approval authority and escalation responsibilities for AI-assisted decisions are documented
e3. Third-party model or service accountability remains assigned to an internal accountable owner rather than being delegated contractually to the provider
e4. Internal and external communication or complaint/escalation ownership is identified for decisions materially affected by AI</x:t>
  </x:si>
  <x:si>
    <x:t xml:space="preserve">none - Roles are discussed but no accountable decision owner or authority is attributable
partial - Accountable owners exist, but decision rights, third-party accountability or external escalation ownership is incomplete
full - All applicable accountability elements are named, authoritative and evidenced for the use case</x:t>
  </x:si>
  <x:si>
    <x:t xml:space="preserve">F4</x:t>
  </x:si>
  <x:si>
    <x:t xml:space="preserve">Transparency — disclosure &amp; explanation appropriate to each stakeholder</x:t>
  </x:si>
  <x:si>
    <x:t xml:space="preserve">A.8.2; A.8.5; A.6.2.7</x:t>
  </x:si>
  <x:si>
    <x:t xml:space="preserve">MEASURE 2.8; MEASURE 2.9</x:t>
  </x:si>
  <x:si>
    <x:t xml:space="preserve">Transparency assessment; model card; customer disclosure standard (Veritas 3C)</x:t>
  </x:si>
  <x:si>
    <x:t xml:space="preserve">§C — internal + external transparency proportionate to materiality. Triggered Plays 3/4; reviewed Play 8.</x:t>
  </x:si>
  <x:si>
    <x:t xml:space="preserve">MGF D2.7, D4.1 | SAFR S3.2</x:t>
  </x:si>
  <x:si>
    <x:t xml:space="preserve">D1. Inspect transparency standards, model-card template and stakeholder disclosure requirements.
D2. Confirm the design differentiates internal users, customers/affected persons, regulators and other stakeholders, with proportionate explanation/disclosure requirements, material limitations and update triggers.
D3. Confirm change and incident events trigger review of disclosures. PASS when transparency requirements are audience-specific, proportionate and maintainable; FAIL when material stakeholders or update triggers are omitted; NOT TESTABLE when no controlled transparency standard exists.</x:t>
  </x:si>
  <x:si>
    <x:t xml:space="preserve">O1. Sample live AI systems and inspect the disclosures/model cards actually presented to relevant stakeholders.
O2. Verify content is consistent with the deployed version/use case, includes material limitations and provides an appropriate explanation/contact path.
O3. Trace material changes/incidents to timely disclosure/model-card updates. PASS when operating disclosures are accurate, proportionate and current; FAIL when material stakeholder information is missing or materially inconsistent with the deployed system; NOT TESTABLE when actual disclosure evidence cannot be obtained.</x:t>
  </x:si>
  <x:si>
    <x:t xml:space="preserve">e1. A disclosure requirement covering Transparency — disclosure &amp; explanation appropriate to each stakeholder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x:t>
  </x:si>
  <x:si>
    <x:t xml:space="preserve">Stress-Test Tracker — Hotspot Register (10 core + 4 SAFR runtime)</x:t>
  </x:si>
  <x:si>
    <x:t xml:space="preserve">#</x:t>
  </x:si>
  <x:si>
    <x:t xml:space="preserve">Hotspot</x:t>
  </x:si>
  <x:si>
    <x:t xml:space="preserve">Class</x:t>
  </x:si>
  <x:si>
    <x:t xml:space="preserve">Failure mode</x:t>
  </x:si>
  <x:si>
    <x:t xml:space="preserve">Recommended stress tests</x:t>
  </x:si>
  <x:si>
    <x:t xml:space="preserve">Maps to</x:t>
  </x:si>
  <x:si>
    <x:t xml:space="preserve">Cadence</x:t>
  </x:si>
  <x:si>
    <x:t xml:space="preserve">Last run</x:t>
  </x:si>
  <x:si>
    <x:t xml:space="preserve">Result</x:t>
  </x:si>
  <x:si>
    <x:t xml:space="preserve">Residual risk</x:t>
  </x:si>
  <x:si>
    <x:t xml:space="preserve">Next run</x:t>
  </x:si>
  <x:si>
    <x:t xml:space="preserve">Generative AI hallucination &amp; factual unreliability</x:t>
  </x:si>
  <x:si>
    <x:t xml:space="preserve">GenAI / Agent</x:t>
  </x:si>
  <x:si>
    <x:t xml:space="preserve">Model emits confident but fabricated or wrong outputs; in an FI context this means mis-stated facts, bad advice, or compliance breaches reaching customers or filings.</x:t>
  </x:si>
  <x:si>
    <x:t xml:space="preserve">Known-answer benchmarks; RAG grounding &amp; citation-faithfulness checks; out-of-distribution and ambiguous prompts; human-graded evals on edge cases; hallucination-rate thresholds.</x:t>
  </x:si>
  <x:si>
    <x:t xml:space="preserve">NIST MEASURE 2.5, 2.9  |  ISO A.6.2.4, A.6.2.6  |  MAS M3.6, M3.15</x:t>
  </x:si>
  <x:si>
    <x:t xml:space="preserve">Not run</x:t>
  </x:si>
  <x:si>
    <x:t xml:space="preserve">Prompt injection, jailbreak &amp; data exfiltration</x:t>
  </x:si>
  <x:si>
    <x:t xml:space="preserve">Crafted inputs override instructions, bypass guardrails, leak the system prompt or PII — including indirect injection via retrieved or third-party content.</x:t>
  </x:si>
  <x:si>
    <x:t xml:space="preserve">Red-team injection &amp; jailbreak corpora; indirect/second-order injection via documents and tool outputs; exfiltration canary tokens; guardrail bypass regression suite.</x:t>
  </x:si>
  <x:si>
    <x:t xml:space="preserve">NIST MEASURE 2.7  |  ISO A.6.2.3, A.6.2.6  |  MAS M3.7, M3.15</x:t>
  </x:si>
  <x:si>
    <x:t xml:space="preserve">Autonomous agent behaviour &amp; unintended actions</x:t>
  </x:si>
  <x:si>
    <x:t xml:space="preserve">Tool misuse, runaway loops, scope creep, or irreversible actions taken without a human gate; small errors compound across an action chain.</x:t>
  </x:si>
  <x:si>
    <x:t xml:space="preserve">Sandboxed scenario testing; adversarial multi-step task chains; action-space &amp; permission-boundary probes; kill-switch and rollback drills; concentration of authority tests.</x:t>
  </x:si>
  <x:si>
    <x:t xml:space="preserve">NIST MANAGE 2.3, 2.4  |  ISO A.9.4, A.6.2.6  |  MAS M3.4, M3.15</x:t>
  </x:si>
  <x:si>
    <x:t xml:space="preserve">Model drift &amp; performance degradation in production</x:t>
  </x:si>
  <x:si>
    <x:t xml:space="preserve">Classic ML</x:t>
  </x:si>
  <x:si>
    <x:t xml:space="preserve">Data or concept drift silently erodes accuracy; monitoring thresholds fail to trip or are mis-calibrated, so decay goes unnoticed.</x:t>
  </x:si>
  <x:si>
    <x:t xml:space="preserve">Backtesting on shifted time windows; synthetic distribution-shift injection; champion/challenger; validation that drift-alert thresholds actually fire; scheduled revalidation.</x:t>
  </x:si>
  <x:si>
    <x:t xml:space="preserve">NIST MEASURE 2.4, 3.1  |  ISO A.6.2.6  |  MAS M3.10</x:t>
  </x:si>
  <x:si>
    <x:t xml:space="preserve">Model Risk + Data Sci</x:t>
  </x:si>
  <x:si>
    <x:t xml:space="preserve">Fairness &amp; bias across subgroups</x:t>
  </x:si>
  <x:si>
    <x:t xml:space="preserve">Cross-cutting</x:t>
  </x:si>
  <x:si>
    <x:t xml:space="preserve">Disparate impact on protected or commercial segments; proxy discrimination through correlated features (e.g. postcode as a race proxy).</x:t>
  </x:si>
  <x:si>
    <x:t xml:space="preserve">Slice/subgroup performance; counterfactual fairness tests; proxy-variable analysis; disparate-impact ratio under stressed/underrepresented populations.</x:t>
  </x:si>
  <x:si>
    <x:t xml:space="preserve">NIST MEASURE 2.11  |  ISO A.5.4, A.7.4  |  MAS M3.2, FEAT F1</x:t>
  </x:si>
  <x:si>
    <x:t xml:space="preserve">AI Risk + InfoSec</x:t>
  </x:si>
  <x:si>
    <x:t xml:space="preserve">Semi-annual</x:t>
  </x:si>
  <x:si>
    <x:t xml:space="preserve">Data quality, lineage &amp; poisoning</x:t>
  </x:si>
  <x:si>
    <x:t xml:space="preserve">Corrupt, unrepresentative or maliciously poisoned data degrades or backdoors the model; broken lineage makes the cause untraceable.</x:t>
  </x:si>
  <x:si>
    <x:t xml:space="preserve">Data-poisoning &amp; label-noise injection; lineage-break detection; missing/corrupt feature injection; representativeness checks under stressed segments.</x:t>
  </x:si>
  <x:si>
    <x:t xml:space="preserve">NIST MAP 2.3, MEASURE 2.1  |  ISO A.7.4, A.7.5  |  MAS M3.1, M2.3</x:t>
  </x:si>
  <x:si>
    <x:t xml:space="preserve">Robustness to adversarial &amp; edge-case inputs</x:t>
  </x:si>
  <x:si>
    <x:t xml:space="preserve">Small perturbations or rare tail inputs flip outputs; the model is brittle exactly where stakes are high and data is thin.</x:t>
  </x:si>
  <x:si>
    <x:t xml:space="preserve">Adversarial perturbation attacks; boundary &amp; edge-case generation; extreme-value and tail-scenario inputs; input fuzzing; stress at operating-range limits.</x:t>
  </x:si>
  <x:si>
    <x:t xml:space="preserve">NIST MEASURE 2.6, 2.7  |  ISO A.6.2.4  |  MAS M3.6</x:t>
  </x:si>
  <x:si>
    <x:t xml:space="preserve">Third-party / foundation-model concentration &amp; dependency</x:t>
  </x:si>
  <x:si>
    <x:t xml:space="preserve">Vendor model version change, API outage, or silent behaviour shift breaks downstream systems; single-provider reliance creates concentration risk.</x:t>
  </x:si>
  <x:si>
    <x:t xml:space="preserve">Model-swap regression; version-pin drift tests; vendor outage/failover scenarios; behaviour-change detection on upgrades; concentration scenario analysis.</x:t>
  </x:si>
  <x:si>
    <x:t xml:space="preserve">NIST GOVERN 6.2, MANAGE 3.1, 3.2  |  ISO A.10.3  |  MAS M3.14, M3.15</x:t>
  </x:si>
  <x:si>
    <x:t xml:space="preserve">Human oversight failure &amp; automation bias</x:t>
  </x:si>
  <x:si>
    <x:t xml:space="preserve">Reviewers rubber-stamp AI outputs, override mechanisms go unused, and escalation paths break — oversight exists on paper but not in practice.</x:t>
  </x:si>
  <x:si>
    <x:t xml:space="preserve">Override-rate analysis; seeded-error detection (does the reviewer catch a planted wrong output?); escalation drills; oversight-effectiveness review.</x:t>
  </x:si>
  <x:si>
    <x:t xml:space="preserve">NIST GOVERN 3.2, MAP 3.5  |  ISO A.9.2, A.9.3  |  MAS M3.4</x:t>
  </x:si>
  <x:si>
    <x:t xml:space="preserve">Privacy: memorisation, re-identification &amp; inference</x:t>
  </x:si>
  <x:si>
    <x:t xml:space="preserve">Model memorises and regurgitates training PII, or outputs enable re-identification or membership inference of individuals in the training set.</x:t>
  </x:si>
  <x:si>
    <x:t xml:space="preserve">Membership-inference attacks; training-data extraction probes; PII-leakage prompt suites; re-identification testing on aggregated outputs.</x:t>
  </x:si>
  <x:si>
    <x:t xml:space="preserve">NIST MEASURE 2.10  |  ISO A.7.2  |  MAS M3.1</x:t>
  </x:si>
  <x:si>
    <x:t xml:space="preserve">Disposition-engine latency &amp; fail-open</x:t>
  </x:si>
  <x:si>
    <x:t xml:space="preserve">SAFR / Runtime</x:t>
  </x:si>
  <x:si>
    <x:t xml:space="preserve">The runtime checkpoint adds latency that pressures teams to bypass it, or it fails open (lets actions through) under load or outage — so the control plane becomes a bottleneck or a silent gap at the point of action.</x:t>
  </x:si>
  <x:si>
    <x:t xml:space="preserve">Load/latency injection at the disposition engine under peak volumes; fail-open vs. fail-closed behaviour testing on checkpoint outage; chaos/failover drills on the runtime control plane; timeout and queue-backpressure handling tests.</x:t>
  </x:si>
  <x:si>
    <x:t xml:space="preserve">SAFR S2.1, S2.6  |  NIST MANAGE 2.4, MEASURE 2.7  |  ISO A.6, A.4  |  MAS M3.4</x:t>
  </x:si>
  <x:si>
    <x:t xml:space="preserve">InfoSec + Technology</x:t>
  </x:si>
  <x:si>
    <x:t xml:space="preserve">Audit-log tamper-evidence &amp; completeness</x:t>
  </x:si>
  <x:si>
    <x:t xml:space="preserve">Governance records are incomplete, mutable or tamperable; gaps between executed actions and logged decisions break non-repudiation and leave actions unaccounted for at supervisory review.</x:t>
  </x:si>
  <x:si>
    <x:t xml:space="preserve">Tamper-attempt &amp; integrity-verification tests (append-only / hash-chain); log-completeness reconciliation vs. executed actions; timestamp / clock-manipulation tests; retention and retrievability drills for internal audit and MAS review.</x:t>
  </x:si>
  <x:si>
    <x:t xml:space="preserve">SAFR S3.1, S3.2, S3.4  |  NIST MEASURE 3.1, MANAGE 4.1  |  ISO A.9, A.8  |  MAS M3.15</x:t>
  </x:si>
  <x:si>
    <x:t xml:space="preserve">InfoSec + Internal Audit</x:t>
  </x:si>
  <x:si>
    <x:t xml:space="preserve">Mandate bypass &amp; stale controls-repository</x:t>
  </x:si>
  <x:si>
    <x:t xml:space="preserve">An agent executes actions outside its granted mandate, or the controls repository is stale / misconfigured so thresholds and policies are not enforced at runtime.</x:t>
  </x:si>
  <x:si>
    <x:t xml:space="preserve">Out-of-mandate action injection (does the pre-execution check block it?); threshold-boundary probes; stale / rolled-back policy-version tests; privilege-escalation and mandate scope-creep chains.</x:t>
  </x:si>
  <x:si>
    <x:t xml:space="preserve">SAFR S1.2, S1.3, S1.4  |  NIST MANAGE 2.3, GOVERN 1.3  |  ISO A.9, A.2  |  MAS M3.4</x:t>
  </x:si>
  <x:si>
    <x:t xml:space="preserve">Gateway coverage &amp; cross-system enforcement gaps</x:t>
  </x:si>
  <x:si>
    <x:t xml:space="preserve">Agent actions route around the gateway or native embedding, or enforcement is inconsistent across downstream systems — leaving unchecked execution paths, including for third-party agents.</x:t>
  </x:si>
  <x:si>
    <x:t xml:space="preserve">Coverage / attack-surface mapping for actions that evade interception; direct-API and side-channel path tests; cross-system consistency checks (same mandate enforced everywhere); third-party / vendor agent path coverage.</x:t>
  </x:si>
  <x:si>
    <x:t xml:space="preserve">SAFR S4.2, S4.4, S4.5  |  NIST MANAGE 2.3, 3.1  |  ISO A.9, A.10  |  MAS M3.14</x:t>
  </x:si>
  <x:si>
    <x:t xml:space="preserve">AI Governance — Maturity &amp; Readiness Dashboard</x:t>
  </x:si>
  <x:si>
    <x:t xml:space="preserve">Live roll-up of the control trackers. Update Status &amp; Maturity on each Control Library tab and these figures refresh automatically.</x:t>
  </x:si>
  <x:si>
    <x:t xml:space="preserve">Framework</x:t>
  </x:si>
  <x:si>
    <x:t xml:space="preserve"># Controls</x:t>
  </x:si>
  <x:si>
    <x:t xml:space="preserve">Implemented</x:t>
  </x:si>
  <x:si>
    <x:t xml:space="preserve">Operating effectively</x:t>
  </x:si>
  <x:si>
    <x:t xml:space="preserve">N/A</x:t>
  </x:si>
  <x:si>
    <x:t xml:space="preserve">Avg maturity</x:t>
  </x:si>
  <x:si>
    <x:t xml:space="preserve">% Implemented+</x:t>
  </x:si>
  <x:si>
    <x:t xml:space="preserve">MAS</x:t>
  </x:si>
  <x:si>
    <x:t xml:space="preserve">IMDA MGF Agentic</x:t>
  </x:si>
  <x:si>
    <x:t xml:space="preserve">SAFR (Runtime)</x:t>
  </x:si>
  <x:si>
    <x:t xml:space="preserve">TOTAL</x:t>
  </x:si>
  <x:si>
    <x:t xml:space="preserve">Status values</x:t>
  </x:si>
  <x:si>
    <x:t xml:space="preserve">Not started / In progress / Implemented / Operating effectively / Not applicable</x:t>
  </x:si>
  <x:si>
    <x:t xml:space="preserve">Maturity scale</x:t>
  </x:si>
  <x:si>
    <x:t xml:space="preserve">1 Initial  •  2 Developing  •  3 Defined  •  4 Managed  •  5 Optimised</x:t>
  </x:si>
  <x:si>
    <x:t xml:space="preserve">% Implemented+ = (Implemented + Operating effectively) / (controls excluding N/A)</x:t>
  </x:si>
  <x:si>
    <x:t xml:space="preserve">FEAT OPERATIONALISATION</x:t>
  </x:si>
  <x:si>
    <x:t xml:space="preserve">All four FEAT principles assessed, evidenced (Veritas) and triggered by the plays. Principles operationalised:</x:t>
  </x:si>
  <x:si>
    <x:t xml:space="preserve">Principle</x:t>
  </x:si>
  <x:si>
    <x:t xml:space="preserve">Status (live)</x:t>
  </x:si>
  <x:si>
    <x:t xml:space="preserve">Triggered in plays</x:t>
  </x:si>
  <x:si>
    <x:t xml:space="preserve">Evidence (Veritas)</x:t>
  </x:si>
  <x:si>
    <x:t xml:space="preserve">Review cadence</x:t>
  </x:si>
  <x:si>
    <x:t xml:space="preserve">Fairness (F1)</x:t>
  </x:si>
  <x:si>
    <x:t xml:space="preserve">2, 3, 4, 5, 8</x:t>
  </x:si>
  <x:si>
    <x:t xml:space="preserve">Doc 3A — Fairness Report</x:t>
  </x:si>
  <x:si>
    <x:t xml:space="preserve">Annual + drift</x:t>
  </x:si>
  <x:si>
    <x:t xml:space="preserve">Ethics (F2)</x:t>
  </x:si>
  <x:si>
    <x:t xml:space="preserve">2, 4, 8</x:t>
  </x:si>
  <x:si>
    <x:t xml:space="preserve">Doc 3B — Ethics attestation</x:t>
  </x:si>
  <x:si>
    <x:t xml:space="preserve">Annual</x:t>
  </x:si>
  <x:si>
    <x:t xml:space="preserve">Accountability (F3)</x:t>
  </x:si>
  <x:si>
    <x:t xml:space="preserve">Doc 3B — Accountability matrix</x:t>
  </x:si>
  <x:si>
    <x:t xml:space="preserve">Transparency (F4)</x:t>
  </x:si>
  <x:si>
    <x:t xml:space="preserve">Methodology: FEAT Assessment Methodology (Veritas-aligned) — §A Fairness, §B Ethics &amp; Accountability, §C Transparency, §D high-materiality validation.</x:t>
  </x:si>
  <x:si>
    <x:t xml:space="preserve">ASSURANCE TESTING — TEST OF DESIGN &amp; OPERATING EFFECTIVENESS</x:t>
  </x:si>
  <x:si>
    <x:t xml:space="preserve">Design assessed</x:t>
  </x:si>
  <x:si>
    <x:t xml:space="preserve">Design adequate</x:t>
  </x:si>
  <x:si>
    <x:t xml:space="preserve">% design adequate</x:t>
  </x:si>
  <x:si>
    <x:t xml:space="preserve">Operating assessed</x:t>
  </x:si>
  <x:si>
    <x:t xml:space="preserve">Operating effective</x:t>
  </x:si>
  <x:si>
    <x:t xml:space="preserve">% operating effective</x:t>
  </x:si>
  <x:si>
    <x:t xml:space="preserve">Test of Design conclusions: Not tested / Adequate / Partially adequate / Inadequate / Not applicable.   Test of Operating Effectiveness: Not tested / Effective / Partially effective / Ineffective / Not applicable.   % columns are of the assessed (tested) population.   ToD is the evidentiary basis for an 'Implemented' status; ToE for 'Operating effectively'.</x:t>
  </x:si>
  <x:si>
    <x:t xml:space="preserve">v0.4.1 correction: rows 30-34 previously counted conclusion words in the column holding the ToD/ToE procedure text, so the assurance roll-up could only ever report zero. They now read the dedicated ToD/ToE conclusion columns on each library tab.</x:t>
  </x:si>
  <x:si>
    <x:t xml:space="preserve">Control Library - IMDA MGF for Agentic AI — Control Tracker</x:t>
  </x:si>
  <x:si>
    <x:t xml:space="preserve">Dimension</x:t>
  </x:si>
  <x:si>
    <x:t xml:space="preserve">MGF Control ID</x:t>
  </x:si>
  <x:si>
    <x:t xml:space="preserve">Control / Recommended Measure</x:t>
  </x:si>
  <x:si>
    <x:t xml:space="preserve">Objective — what it bounds</x:t>
  </x:si>
  <x:si>
    <x:t xml:space="preserve">MAS AIRG theme</x:t>
  </x:si>
  <x:si>
    <x:t xml:space="preserve">ISO/IEC 42001 Annex A</x:t>
  </x:si>
  <x:si>
    <x:t xml:space="preserve">Weight (1-5)</x:t>
  </x:si>
  <x:si>
    <x:t xml:space="preserve">Weighted maturity</x:t>
  </x:si>
  <x:si>
    <x:t xml:space="preserve">Linked MAS | SAFR</x:t>
  </x:si>
  <x:si>
    <x:t xml:space="preserve">D1 Bound risk</x:t>
  </x:si>
  <x:si>
    <x:t xml:space="preserve">D1.1</x:t>
  </x:si>
  <x:si>
    <x:t xml:space="preserve">Use-case suitability assessment</x:t>
  </x:si>
  <x:si>
    <x:t xml:space="preserve">Stop agents being deployed in unsuitable / high-impact contexts</x:t>
  </x:si>
  <x:si>
    <x:t xml:space="preserve">AI Inventory &amp; Materiality</x:t>
  </x:si>
  <x:si>
    <x:t xml:space="preserve">A.5 Impact assessment</x:t>
  </x:si>
  <x:si>
    <x:t xml:space="preserve">MAP 1.1, 1.6</x:t>
  </x:si>
  <x:si>
    <x:t xml:space="preserve">AI Risk (2nd line) / Model Owner</x:t>
  </x:si>
  <x:si>
    <x:t xml:space="preserve">MAS M2.3 | SAFR S1.5</x:t>
  </x:si>
  <x:si>
    <x:t xml:space="preserve">D1. Obtain the approved methodology and template for Use-case suitability assessment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</x:si>
  <x:si>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Use-case suitability assessment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</x:si>
  <x:si>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D1.2  ★</x:t>
  </x:si>
  <x:si>
    <x:t xml:space="preserve">Tiered risk classification</x:t>
  </x:si>
  <x:si>
    <x:t xml:space="preserve">Right-size controls to the level of risk</x:t>
  </x:si>
  <x:si>
    <x:t xml:space="preserve">MAP 1.5, 2.2</x:t>
  </x:si>
  <x:si>
    <x:t xml:space="preserve">Play 1, 8</x:t>
  </x:si>
  <x:si>
    <x:t xml:space="preserve">MAS M2.3</x:t>
  </x:si>
  <x:si>
    <x:t xml:space="preserve">D1. Obtain the approved methodology and template for Tiered risk classification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</x:si>
  <x:si>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Tiered risk classification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</x:si>
  <x:si>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D1.3</x:t>
  </x:si>
  <x:si>
    <x:t xml:space="preserve">Define agent limits at design</x:t>
  </x:si>
  <x:si>
    <x:t xml:space="preserve">Cap the agent's blast radius before build</x:t>
  </x:si>
  <x:si>
    <x:t xml:space="preserve">Lifecycle: Development &amp; Validation</x:t>
  </x:si>
  <x:si>
    <x:t xml:space="preserve">MAP 2.1; MANAGE 1.3</x:t>
  </x:si>
  <x:si>
    <x:t xml:space="preserve">MAS M3.5 | SAFR S1.2</x:t>
  </x:si>
  <x:si>
    <x:t xml:space="preserve">D1. Obtain the definition of the authority boundary for Define agent limits at design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</x:si>
  <x:si>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Define agent limits at design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</x:si>
  <x:si>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D1.4</x:t>
  </x:si>
  <x:si>
    <x:t xml:space="preserve">Least-privilege access (scoping)</x:t>
  </x:si>
  <x:si>
    <x:t xml:space="preserve">Limit reachable systems and data</x:t>
  </x:si>
  <x:si>
    <x:t xml:space="preserve">MANAGE 2.3; MEASURE 2.7</x:t>
  </x:si>
  <x:si>
    <x:t xml:space="preserve">Model Developer / InfoSec</x:t>
  </x:si>
  <x:si>
    <x:t xml:space="preserve">MAS M3.5, M3.7 | SAFR S1.4</x:t>
  </x:si>
  <x:si>
    <x:t xml:space="preserve">D1. Obtain the definition of the authority boundary for Least-privilege access (scoping)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</x:si>
  <x:si>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Least-privilege access (scoping)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</x:si>
  <x:si>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D1.5</x:t>
  </x:si>
  <x:si>
    <x:t xml:space="preserve">Agent identity management (identity card + authorisation trail)</x:t>
  </x:si>
  <x:si>
    <x:t xml:space="preserve">Give every agent a verifiable identity — capabilities, limits, authorised action domains and escalation — plus a trail of which agent acted under whose authority, so every action is attributable.</x:t>
  </x:si>
  <x:si>
    <x:t xml:space="preserve">Oversight &amp; Accountability</x:t>
  </x:si>
  <x:si>
    <x:t xml:space="preserve">GOVERN 2.1; MAP 1.1; MEASURE 3.1</x:t>
  </x:si>
  <x:si>
    <x:t xml:space="preserve">Play 2, 7, 9</x:t>
  </x:si>
  <x:si>
    <x:t xml:space="preserve">MAS M3.8, F3 | SAFR S1.1, S3.3</x:t>
  </x:si>
  <x:si>
    <x:t xml:space="preserve">D1. Obtain the definition of the authority boundary for Agent identity management (identity card + authorisation trail)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</x:si>
  <x:si>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Agent identity management (identity card + authorisation trail)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</x:si>
  <x:si>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D1.6  ★</x:t>
  </x:si>
  <x:si>
    <x:t xml:space="preserve">Third-party / multi-agent dependency review</x:t>
  </x:si>
  <x:si>
    <x:t xml:space="preserve">Bound risk inherited from external / peer agents</x:t>
  </x:si>
  <x:si>
    <x:t xml:space="preserve">Third-Party &amp; Reliance Risk</x:t>
  </x:si>
  <x:si>
    <x:t xml:space="preserve">A.10 Third-party relationships</x:t>
  </x:si>
  <x:si>
    <x:t xml:space="preserve">GOVERN 6.1; MANAGE 3.1</x:t>
  </x:si>
  <x:si>
    <x:t xml:space="preserve">Play 1, 7</x:t>
  </x:si>
  <x:si>
    <x:t xml:space="preserve">MAS M3.14 | SAFR S4.4, S4.5</x:t>
  </x:si>
  <x:si>
    <x:t xml:space="preserve">D1. Obtain the third-party requirements covering Third-party / multi-agent dependency review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</x:si>
  <x:si>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PA 3, PA 7</x:t>
  </x:si>
  <x:si>
    <x:t xml:space="preserve">e1. Third-party requirements covering Third-party / multi-agent dependency review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</x:si>
  <x:si>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D2 Human accountability</x:t>
  </x:si>
  <x:si>
    <x:t xml:space="preserve">D2.1</x:t>
  </x:si>
  <x:si>
    <x:t xml:space="preserve">Responsibility allocation across value chain</x:t>
  </x:si>
  <x:si>
    <x:t xml:space="preserve">Keep a named owner answerable for agent actions</x:t>
  </x:si>
  <x:si>
    <x:t xml:space="preserve">GOVERN 2.1, 2.3</x:t>
  </x:si>
  <x:si>
    <x:t xml:space="preserve">AI Risk Cttee / AI Risk (2nd line)</x:t>
  </x:si>
  <x:si>
    <x:t xml:space="preserve">Play 1, All</x:t>
  </x:si>
  <x:si>
    <x:t xml:space="preserve">MAS M1.1, F3 | SAFR S1.2</x:t>
  </x:si>
  <x:si>
    <x:t xml:space="preserve">D1. Obtain the approved terms of reference, mandate or charter covering Responsibility allocation across value chain,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</x:si>
  <x:si>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Responsibility allocation across value chain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</x:si>
  <x:si>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D2.2</x:t>
  </x:si>
  <x:si>
    <x:t xml:space="preserve">Adaptive governance</x:t>
  </x:si>
  <x:si>
    <x:t xml:space="preserve">Keep governance current with capability change</x:t>
  </x:si>
  <x:si>
    <x:t xml:space="preserve">GOVERN 1.3, 4.3</x:t>
  </x:si>
  <x:si>
    <x:t xml:space="preserve">D1. Obtain the change or release procedure covering Adaptive governance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</x:si>
  <x:si>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Adaptive governance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</x:si>
  <x:si>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D2.3</x:t>
  </x:si>
  <x:si>
    <x:t xml:space="preserve">Human approval at significant checkpoints</x:t>
  </x:si>
  <x:si>
    <x:t xml:space="preserve">Hold the agent at the points that matter most</x:t>
  </x:si>
  <x:si>
    <x:t xml:space="preserve">GOVERN 4.1; MANAGE 2.3</x:t>
  </x:si>
  <x:si>
    <x:t xml:space="preserve">MAS M3.4 | SAFR S2.3</x:t>
  </x:si>
  <x:si>
    <x:t xml:space="preserve">D1. Obtain the oversight design for Human approval at significant checkpoints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x:t>
  </x:si>
  <x:si>
    <x:t xml:space="preserve">O1. Define the population of decisions or actions subject to oversight in the period.
O2. Measure the override and rejection rate. A rate at or near zero across a large population is a finding to investigate, not evidence of quality.
O3. Sample reviewed items and verify the reviewer had the stated information and recorded a decision with a reason.
O4. Test timing: the review preceded the action it governs, and the time taken is consistent with genuine review rather than batch confirmation.
O5. Trace a sample of overrides to their effect on the system outcome.
Operating verdict: EFFECTIVE when oversight occurred before the action, with reasoned decisions and a credible disagreement rate. PARTIALLY EFFECTIVE when review occurred but reasons or timing are unevidenced. INEFFECTIVE when oversight was nominal or post hoc. NOT TESTABLE when the decision population cannot be established.</x:t>
  </x:si>
  <x:si>
    <x:t xml:space="preserve">e1. Oversight points for Human approval at significant checkpoints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x:t>
  </x:si>
  <x:si>
    <x:t xml:space="preserve">Archetype: human_oversight — DRAFT, requires second-line authoring and control-owner approval before authoritative use</x:t>
  </x:si>
  <x:si>
    <x:t xml:space="preserve">D2.4</x:t>
  </x:si>
  <x:si>
    <x:t xml:space="preserve">Approval design</x:t>
  </x:si>
  <x:si>
    <x:t xml:space="preserve">Prevent oversight collapsing into rubber-stamping</x:t>
  </x:si>
  <x:si>
    <x:t xml:space="preserve">GOVERN 4.1; MEASURE 3.3</x:t>
  </x:si>
  <x:si>
    <x:t xml:space="preserve">D1. Obtain the oversight design for Approval design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x:t>
  </x:si>
  <x:si>
    <x:t xml:space="preserve">e1. Oversight points for Approval design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x:t>
  </x:si>
  <x:si>
    <x:t xml:space="preserve">D2.5</x:t>
  </x:si>
  <x:si>
    <x:t xml:space="preserve">Audit approval effectiveness</x:t>
  </x:si>
  <x:si>
    <x:t xml:space="preserve">Verify oversight is real, not nominal</x:t>
  </x:si>
  <x:si>
    <x:t xml:space="preserve">MEASURE 4.1; MANAGE 4.1</x:t>
  </x:si>
  <x:si>
    <x:t xml:space="preserve">MAS M3.4 | SAFR S3.5</x:t>
  </x:si>
  <x:si>
    <x:t xml:space="preserve">D1. Obtain the oversight design for Audit approval effectiveness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x:t>
  </x:si>
  <x:si>
    <x:t xml:space="preserve">e1. Oversight points for Audit approval effectiveness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x:t>
  </x:si>
  <x:si>
    <x:t xml:space="preserve">D2.6  ★</x:t>
  </x:si>
  <x:si>
    <x:t xml:space="preserve">Automation-bias countermeasures</x:t>
  </x:si>
  <x:si>
    <x:t xml:space="preserve">Detect decaying human attention early</x:t>
  </x:si>
  <x:si>
    <x:t xml:space="preserve">GOVERN 3.2; MEASURE 3.3</x:t>
  </x:si>
  <x:si>
    <x:t xml:space="preserve">MAS M3.4</x:t>
  </x:si>
  <x:si>
    <x:t xml:space="preserve">D1. Obtain the approved validation or evaluation methodology for Automation-bias countermeasures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</x:si>
  <x:si>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Automation-bias countermeasures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</x:si>
  <x:si>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D2.7</x:t>
  </x:si>
  <x:si>
    <x:t xml:space="preserve">End-user accountability information</x:t>
  </x:si>
  <x:si>
    <x:t xml:space="preserve">Enable accountability to flow to users</x:t>
  </x:si>
  <x:si>
    <x:t xml:space="preserve">Transparency &amp; Communication</x:t>
  </x:si>
  <x:si>
    <x:t xml:space="preserve">A.8 Information to interested parties</x:t>
  </x:si>
  <x:si>
    <x:t xml:space="preserve">GOVERN 5.1; MAP 3.5</x:t>
  </x:si>
  <x:si>
    <x:t xml:space="preserve">MAS M3.3, F4 | SAFR S3.2</x:t>
  </x:si>
  <x:si>
    <x:t xml:space="preserve">D1. Obtain the approved terms of reference, mandate or charter covering End-user accountability information, with its approval record and version history.
D2. Confirm the mandate names the accountable role or body, its membership and quorum, and the decisions reserved to it rather than delegated to a model, a vendor or the delivery team.
D3. Confirm reporting inputs, cadence, materiality thresholds for escalation and evidence-retention responsibilities are stated, not implied.
D4. Confirm the mandate is current — reviewed within its stated cycle, and updated for any material change in AI scope since approval.
Design verdict: ADEQUATE only when D1-D3 all hold. PARTIALLY ADEQUATE when D1 holds and one of D2-D3 is incomplete. INADEQUATE when decision rights or accountability cannot be located. NOT TESTABLE when the authoritative mandate is not produced — absence of the artefact from the evidence pack is not a design failure until its absence is confirmed by the owner.</x:t>
  </x:si>
  <x:si>
    <x:t xml:space="preserve">e1. A named body or role holds an approved mandate covering End-user accountability information
e2. The mandate states which decisions are reserved to that body and cannot be delegated
e3. Membership, quorum and cross-functional representation are defined
e4. Reporting inputs, cadence and escalation thresholds are defined
e5. Decisions taken under the mandate are recorded with a named decision-maker and date
e6. Actions arising are tracked to closure or formal acceptance</x:t>
  </x:si>
  <x:si>
    <x:t xml:space="preserve">D3 Technical controls</x:t>
  </x:si>
  <x:si>
    <x:t xml:space="preserve">D3.1</x:t>
  </x:si>
  <x:si>
    <x:t xml:space="preserve">Least-privilege tool/data access (technical)</x:t>
  </x:si>
  <x:si>
    <x:t xml:space="preserve">Constrain capability at runtime</x:t>
  </x:si>
  <x:si>
    <x:t xml:space="preserve">MAS M3.7 | SAFR S1.4</x:t>
  </x:si>
  <x:si>
    <x:t xml:space="preserve">D1. Obtain the definition of the authority boundary for Least-privilege tool/data access (technical)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</x:si>
  <x:si>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PA 3, PA 8</x:t>
  </x:si>
  <x:si>
    <x:t xml:space="preserve">e1. The authority boundary for Least-privilege tool/data access (technical)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</x:si>
  <x:si>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D3.2</x:t>
  </x:si>
  <x:si>
    <x:t xml:space="preserve">Secure sandboxed environment</x:t>
  </x:si>
  <x:si>
    <x:t xml:space="preserve">Contain agents during build/test</x:t>
  </x:si>
  <x:si>
    <x:t xml:space="preserve">MAS M3.7 | SAFR S2.6</x:t>
  </x:si>
  <x:si>
    <x:t xml:space="preserve">D1. Obtain the security or resilience requirement covering Secure sandboxed environment — the threats in scope, the controls required and the assurance route.
D2. Confirm AI-specific threats are addressed, not only conventional application security: prompt injection through retrieved or tool-returned content, tool misuse, model or supply-chain compromise, data exfiltration through generated output.
D3. Confirm the trust boundary is stated — which content the system treats as instruction and which as data — and what enforces it.
D4. Confirm testing type, frequency and independence, and the disposition route for findings.
D5. Confirm resilience requirements where applicable: degraded-mode behaviour, dependency failure and recovery objectives.
Design verdict: ADEQUATE when D1-D4 hold. PARTIALLY ADEQUATE when conventional security is covered but AI-specific threat paths are absent. INADEQUATE when no threats are identified. NOT TESTABLE when the requirement is not produced.</x:t>
  </x:si>
  <x:si>
    <x:t xml:space="preserve">e1. Security or resilience requirements covering Secure sandboxed environment are defined
e2. AI-specific threat paths are in scope, including injection through retrieved or tool-returned content
e3. The instruction-versus-data trust boundary is stated and enforced
e4. Testing is performed against the deployed version by an independent party
e5. Findings are remediated, re-tested or formally accepted with an expiry
e6. Runtime evidence shows the boundary holding</x:t>
  </x:si>
  <x:si>
    <x:t xml:space="preserve">D3.3</x:t>
  </x:si>
  <x:si>
    <x:t xml:space="preserve">Tool guardrails</x:t>
  </x:si>
  <x:si>
    <x:t xml:space="preserve">Prevent tool misuse or invented tool calls</x:t>
  </x:si>
  <x:si>
    <x:t xml:space="preserve">MANAGE 2.3, 2.4</x:t>
  </x:si>
  <x:si>
    <x:t xml:space="preserve">MAS M3.7 | SAFR S2.4</x:t>
  </x:si>
  <x:si>
    <x:t xml:space="preserve">D1. Obtain the definition of the authority boundary for Tool guardrails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</x:si>
  <x:si>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Tool guardrails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</x:si>
  <x:si>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D3.4</x:t>
  </x:si>
  <x:si>
    <x:t xml:space="preserve">Plan reflection</x:t>
  </x:si>
  <x:si>
    <x:t xml:space="preserve">Catch flawed plans before execution</x:t>
  </x:si>
  <x:si>
    <x:t xml:space="preserve">MEASURE 2.5; MANAGE 1.3</x:t>
  </x:si>
  <x:si>
    <x:t xml:space="preserve">D1. Obtain the approved validation or evaluation methodology for Plan reflection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</x:si>
  <x:si>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Plan reflection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</x:si>
  <x:si>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D3.5</x:t>
  </x:si>
  <x:si>
    <x:t xml:space="preserve">Instruction comprehension check</x:t>
  </x:si>
  <x:si>
    <x:t xml:space="preserve">Reduce mis-scoped task execution</x:t>
  </x:si>
  <x:si>
    <x:t xml:space="preserve">D1. Obtain the approved validation or evaluation methodology for Instruction comprehension check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</x:si>
  <x:si>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Instruction comprehension check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</x:si>
  <x:si>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D3.6</x:t>
  </x:si>
  <x:si>
    <x:t xml:space="preserve">Plan &amp; reasoning logging</x:t>
  </x:si>
  <x:si>
    <x:t xml:space="preserve">Make agent intent inspectable</x:t>
  </x:si>
  <x:si>
    <x:t xml:space="preserve">Lifecycle: Deployment &amp; Monitoring</x:t>
  </x:si>
  <x:si>
    <x:t xml:space="preserve">MEASURE 3.1; MAP 1.1</x:t>
  </x:si>
  <x:si>
    <x:t xml:space="preserve">Model Owner / AI Risk (2nd line)</x:t>
  </x:si>
  <x:si>
    <x:t xml:space="preserve">MAS M3.8 | SAFR S3.1</x:t>
  </x:si>
  <x:si>
    <x:t xml:space="preserve">D1. Obtain the logging or traceability design for Plan &amp; reasoning logging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x:t>
  </x:si>
  <x:si>
    <x:t xml:space="preserve">e1. A logging or traceability design covering Plan &amp; reasoning logging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x:t>
  </x:si>
  <x:si>
    <x:t xml:space="preserve">D3.7  ★</x:t>
  </x:si>
  <x:si>
    <x:t xml:space="preserve">Structural / rule-based controls</x:t>
  </x:si>
  <x:si>
    <x:t xml:space="preserve">Use controls that can't be prompted away</x:t>
  </x:si>
  <x:si>
    <x:t xml:space="preserve">D1. Obtain the definition of the authority boundary for Structural / rule-based controls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</x:si>
  <x:si>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Structural / rule-based controls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</x:si>
  <x:si>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D3.8</x:t>
  </x:si>
  <x:si>
    <x:t xml:space="preserve">Agent-specific testing</x:t>
  </x:si>
  <x:si>
    <x:t xml:space="preserve">Validate the agent before release</x:t>
  </x:si>
  <x:si>
    <x:t xml:space="preserve">MEASURE 1.3, 2.3</x:t>
  </x:si>
  <x:si>
    <x:t xml:space="preserve">Independent Validation / InfoSec</x:t>
  </x:si>
  <x:si>
    <x:t xml:space="preserve">D1. Obtain the approved validation or evaluation methodology for Agent-specific testing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</x:si>
  <x:si>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Agent-specific testing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</x:si>
  <x:si>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D3.9  ★</x:t>
  </x:si>
  <x:si>
    <x:t xml:space="preserve">Multi-agent / workflow evaluation</x:t>
  </x:si>
  <x:si>
    <x:t xml:space="preserve">Surface emergent multi-agent failure</x:t>
  </x:si>
  <x:si>
    <x:t xml:space="preserve">MEASURE 2.6; MANAGE 3.1</x:t>
  </x:si>
  <x:si>
    <x:t xml:space="preserve">MAS M3.14 | SAFR S4.4</x:t>
  </x:si>
  <x:si>
    <x:t xml:space="preserve">D1. Obtain the approved validation or evaluation methodology for Multi-agent / workflow evaluation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</x:si>
  <x:si>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PA 1</x:t>
  </x:si>
  <x:si>
    <x:t xml:space="preserve">e1. An approved validation or evaluation method for Multi-agent / workflow evaluation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</x:si>
  <x:si>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D3.10</x:t>
  </x:si>
  <x:si>
    <x:t xml:space="preserve">Gradual rollout</x:t>
  </x:si>
  <x:si>
    <x:t xml:space="preserve">Contain impact of unseen failures</x:t>
  </x:si>
  <x:si>
    <x:t xml:space="preserve">MANAGE 1.3, 2.4</x:t>
  </x:si>
  <x:si>
    <x:t xml:space="preserve">D1. Obtain the change or release procedure covering Gradual rollout — change classes, required approvals per class, testing gates and the record fields captured.
D2. Confirm the record captures the AI-specific artefacts that change behaviour: model version, prompt or system-instruction version, tool or data-source configuration, and retrieval corpus where applicable.
D3. Confirm approval must precede implementation, and who may approve each class. Confirm the emergency route, its eligibility criteria and its retrospective approval window.
D4. Confirm the rollback or reversion plan requirement and how it is validated.
D5. Confirm post-implementation verification — that what is running is what was approved.
Design verdict: ADEQUATE when D1-D3 and D5 hold. PARTIALLY ADEQUATE when the procedure exists but omits AI-specific artefacts or post-implementation verification. INADEQUATE when approval is not required before implementation. NOT TESTABLE when the procedure is not produced.</x:t>
  </x:si>
  <x:si>
    <x:t xml:space="preserve">e1. An approved change or release procedure covering Gradual rollout exists
e2. The record captures model, prompt, tool and data-configuration versions
e3. Approval is required and recorded before implementation
e4. The approver is authorised for the change class and is not the implementer
e5. An emergency route exists with eligibility criteria and a retrospective approval window
e6. A rollback plan is required and recorded
e7. Post-implementation verification confirms the running state matches what was approved</x:t>
  </x:si>
  <x:si>
    <x:t xml:space="preserve">D3.11</x:t>
  </x:si>
  <x:si>
    <x:t xml:space="preserve">Continuous monitoring + real-time intervention</x:t>
  </x:si>
  <x:si>
    <x:t xml:space="preserve">Stop harm as it emerges</x:t>
  </x:si>
  <x:si>
    <x:t xml:space="preserve">MEASURE 2.4; MANAGE 4.1</x:t>
  </x:si>
  <x:si>
    <x:t xml:space="preserve">MAS M3.10 | SAFR S2.5</x:t>
  </x:si>
  <x:si>
    <x:t xml:space="preserve">D1. Obtain the monitoring design for Continuous monitoring + real-time intervention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</x:si>
  <x:si>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PA 3, PA 9, PA 10</x:t>
  </x:si>
  <x:si>
    <x:t xml:space="preserve">e1. Metrics and thresholds for Continuous monitoring + real-time intervention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</x:si>
  <x:si>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D3.12</x:t>
  </x:si>
  <x:si>
    <x:t xml:space="preserve">Anomaly detection</x:t>
  </x:si>
  <x:si>
    <x:t xml:space="preserve">Flag deviation from expected behaviour</x:t>
  </x:si>
  <x:si>
    <x:t xml:space="preserve">MEASURE 2.4, 3.1</x:t>
  </x:si>
  <x:si>
    <x:t xml:space="preserve">D1. Obtain the monitoring design for Anomaly detection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</x:si>
  <x:si>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PA 9</x:t>
  </x:si>
  <x:si>
    <x:t xml:space="preserve">e1. Metrics and thresholds for Anomaly detection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</x:si>
  <x:si>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D3.13</x:t>
  </x:si>
  <x:si>
    <x:t xml:space="preserve">Logging strategy</x:t>
  </x:si>
  <x:si>
    <x:t xml:space="preserve">Ensure the right evidence exists</x:t>
  </x:si>
  <x:si>
    <x:t xml:space="preserve">MEASURE 3.1; MANAGE 4.1</x:t>
  </x:si>
  <x:si>
    <x:t xml:space="preserve">MAS M3.8 | SAFR S3.1, S3.2</x:t>
  </x:si>
  <x:si>
    <x:t xml:space="preserve">D1. Obtain the logging or traceability design for Logging strategy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x:t>
  </x:si>
  <x:si>
    <x:t xml:space="preserve">e1. A logging or traceability design covering Logging strategy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x:t>
  </x:si>
  <x:si>
    <x:t xml:space="preserve">D3.14</x:t>
  </x:si>
  <x:si>
    <x:t xml:space="preserve">Log monitoring &amp; alerting</x:t>
  </x:si>
  <x:si>
    <x:t xml:space="preserve">Turn logs into timely action</x:t>
  </x:si>
  <x:si>
    <x:t xml:space="preserve">MEASURE 3.3; MANAGE 4.1</x:t>
  </x:si>
  <x:si>
    <x:t xml:space="preserve">MAS M3.10 | SAFR S3.5</x:t>
  </x:si>
  <x:si>
    <x:t xml:space="preserve">D1. Obtain the monitoring design for Log monitoring &amp; alerting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</x:si>
  <x:si>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Log monitoring &amp; alerting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</x:si>
  <x:si>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D3.15</x:t>
  </x:si>
  <x:si>
    <x:t xml:space="preserve">Incident review &amp; periodic audit</x:t>
  </x:si>
  <x:si>
    <x:t xml:space="preserve">Assure ongoing fitness of the system</x:t>
  </x:si>
  <x:si>
    <x:t xml:space="preserve">MANAGE 4.1, 4.3</x:t>
  </x:si>
  <x:si>
    <x:t xml:space="preserve">Play 5, 6</x:t>
  </x:si>
  <x:si>
    <x:t xml:space="preserve">MAS M3.11 | SAFR S3.5</x:t>
  </x:si>
  <x:si>
    <x:t xml:space="preserve">D1. Obtain the incident or escalation procedure covering Incident review &amp; periodic audit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</x:si>
  <x:si>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Incident review &amp; periodic audit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</x:si>
  <x:si>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D3.16</x:t>
  </x:si>
  <x:si>
    <x:t xml:space="preserve">Emergent-risk response mechanisms</x:t>
  </x:si>
  <x:si>
    <x:t xml:space="preserve">Be ready for the unforeseen</x:t>
  </x:si>
  <x:si>
    <x:t xml:space="preserve">MANAGE 4.1, 4.2</x:t>
  </x:si>
  <x:si>
    <x:t xml:space="preserve">MAS M3.11 | SAFR S2.6</x:t>
  </x:si>
  <x:si>
    <x:t xml:space="preserve">D1. Obtain the incident or escalation procedure covering Emergent-risk response mechanisms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</x:si>
  <x:si>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e1. An incident procedure covering Emergent-risk response mechanisms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</x:si>
  <x:si>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D4 End-user responsibility</x:t>
  </x:si>
  <x:si>
    <x:t xml:space="preserve">D4.1</x:t>
  </x:si>
  <x:si>
    <x:t xml:space="preserve">Transparency to interacting users</x:t>
  </x:si>
  <x:si>
    <x:t xml:space="preserve">Let users understand who/what they deal with</x:t>
  </x:si>
  <x:si>
    <x:t xml:space="preserve">Model Owner / Compliance</x:t>
  </x:si>
  <x:si>
    <x:t xml:space="preserve">D1. Obtain the disclosure or transparency requirement for Transparency to interacting users — who must be told what, at what point, and in what form.
D2. Confirm the content requirement is specific: that AI is in use, what it does, its limitations, and the route to a human or to contest an outcome, as applicable.
D3. Confirm the trigger and timing relative to the interaction or decision.
D4. Confirm who approves the wording and how it is kept current when the system changes.
Design verdict: ADEQUATE when D1-D3 hold. PARTIALLY ADEQUATE when a disclosure requirement exists but content or timing is unspecified. INADEQUATE when no requirement is defined for an in-scope interaction. NOT TESTABLE when the requirement is not produced.</x:t>
  </x:si>
  <x:si>
    <x:t xml:space="preserve">O1. Define the population of in-scope interactions, channels or decisions in the period.
O2. Observe the disclosure as delivered in each channel rather than as specified — capture the live artefact.
O3. Verify timing: the disclosure precedes or accompanies the interaction rather than appearing in terms accepted long before.
O4. Verify currency: the wording matches the system's current behaviour and limitations.
O5. Where contest or human-referral is promised, test that the route works and is answered.
Operating verdict: EFFECTIVE when disclosure was delivered in every in-scope channel, on time, accurately and with working recourse. PARTIALLY EFFECTIVE when delivered inconsistently across channels or out of date. INEFFECTIVE when in-scope interactions carried no disclosure. NOT TESTABLE when the channel population cannot be established.</x:t>
  </x:si>
  <x:si>
    <x:t xml:space="preserve">e1. A disclosure requirement covering Transparency to interacting users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x:t>
  </x:si>
  <x:si>
    <x:t xml:space="preserve">Archetype: disclosure_transparency — DRAFT, requires second-line authoring and control-owner approval before authoritative use</x:t>
  </x:si>
  <x:si>
    <x:t xml:space="preserve">D4.2</x:t>
  </x:si>
  <x:si>
    <x:t xml:space="preserve">Transparency to integrating users</x:t>
  </x:si>
  <x:si>
    <x:t xml:space="preserve">Inform those who build on the agent</x:t>
  </x:si>
  <x:si>
    <x:t xml:space="preserve">GOVERN 5.1; MAP 3.4</x:t>
  </x:si>
  <x:si>
    <x:t xml:space="preserve">MAS M3.3</x:t>
  </x:si>
  <x:si>
    <x:t xml:space="preserve">D1. Obtain the disclosure or transparency requirement for Transparency to integrating users — who must be told what, at what point, and in what form.
D2. Confirm the content requirement is specific: that AI is in use, what it does, its limitations, and the route to a human or to contest an outcome, as applicable.
D3. Confirm the trigger and timing relative to the interaction or decision.
D4. Confirm who approves the wording and how it is kept current when the system changes.
Design verdict: ADEQUATE when D1-D3 hold. PARTIALLY ADEQUATE when a disclosure requirement exists but content or timing is unspecified. INADEQUATE when no requirement is defined for an in-scope interaction. NOT TESTABLE when the requirement is not produced.</x:t>
  </x:si>
  <x:si>
    <x:t xml:space="preserve">e1. A disclosure requirement covering Transparency to integrating users is defined and approved
e2. Required content is specified, including limitations and recourse where applicable
e3. Trigger and timing relative to the interaction are defined
e4. Disclosure is delivered in every in-scope channel
e5. The wording is current against system behaviour
e6. Any promised recourse route works and is answered</x:t>
  </x:si>
  <x:si>
    <x:t xml:space="preserve">D4.3</x:t>
  </x:si>
  <x:si>
    <x:t xml:space="preserve">Oversight training</x:t>
  </x:si>
  <x:si>
    <x:t xml:space="preserve">Build competent human oversight</x:t>
  </x:si>
  <x:si>
    <x:t xml:space="preserve">Capabilities &amp; Competency</x:t>
  </x:si>
  <x:si>
    <x:t xml:space="preserve">A.4 Resources</x:t>
  </x:si>
  <x:si>
    <x:t xml:space="preserve">Model Owner / HR (capability)</x:t>
  </x:si>
  <x:si>
    <x:t xml:space="preserve">MAS M1.5, M4.1</x:t>
  </x:si>
  <x:si>
    <x:t xml:space="preserve">D1. Obtain the training or competency requirement covering Oversight training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x:t>
  </x:si>
  <x:si>
    <x:t xml:space="preserve">e1. A training or competency requirement covering Oversight training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x:t>
  </x:si>
  <x:si>
    <x:t xml:space="preserve">D4.4  ★</x:t>
  </x:si>
  <x:si>
    <x:t xml:space="preserve">Tradecraft preservation</x:t>
  </x:si>
  <x:si>
    <x:t xml:space="preserve">Keep humans able to take over</x:t>
  </x:si>
  <x:si>
    <x:t xml:space="preserve">GOVERN 2.2; MANAGE 4.1</x:t>
  </x:si>
  <x:si>
    <x:t xml:space="preserve">MAS M1.5</x:t>
  </x:si>
  <x:si>
    <x:t xml:space="preserve">D1. Obtain the training or competency requirement covering Tradecraft preservation — the audiences, the content and the required frequency.
D2. Confirm the audiences are defined by role and risk exposure rather than as 'all staff', and that the highest-exposure roles carry a deeper requirement.
D3. Confirm content maps to the decisions those roles actually make, including the failure modes they are expected to catch.
D4. Confirm the completion and competence measure — attendance alone, or an assessed outcome — and the consequence of non-completion.
Design verdict: ADEQUATE when D1-D4 hold. PARTIALLY ADEQUATE when training is required but audiences or competence measurement is undefined. INADEQUATE when no requirement exists for roles with decision authority. NOT TESTABLE when the requirement is not produced.</x:t>
  </x:si>
  <x:si>
    <x:t xml:space="preserve">e1. A training or competency requirement covering Tradecraft preservation exists
e2. Audiences are defined by role and exposure
e3. Content maps to the decisions those roles make
e4. Completion is measured against an independently established population
e5. Joiners and role changers are trained before gaining authority
e6. Non-completion carries a defined consequence that is applied</x:t>
  </x:si>
  <x:si>
    <x:t xml:space="preserve">D4.5</x:t>
  </x:si>
  <x:si>
    <x:t xml:space="preserve">End-user as auditor / red-teamer</x:t>
  </x:si>
  <x:si>
    <x:t xml:space="preserve">Add a human assurance layer</x:t>
  </x:si>
  <x:si>
    <x:t xml:space="preserve">MEASURE 1.1; MANAGE 4.3</x:t>
  </x:si>
  <x:si>
    <x:t xml:space="preserve">InfoSec / AI Risk</x:t>
  </x:si>
  <x:si>
    <x:t xml:space="preserve">Play 10, 11</x:t>
  </x:si>
  <x:si>
    <x:t xml:space="preserve">MAS M3.6</x:t>
  </x:si>
  <x:si>
    <x:t xml:space="preserve">D1. Obtain the approved validation or evaluation methodology for End-user as auditor / red-teamer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</x:si>
  <x:si>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End-user as auditor / red-teamer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</x:si>
  <x:si>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 = control emphasised in IMDA MGF for Agentic AI v1.0 (Jan 2026), updated 20 May 2026. Weight = criticality (seeded default, tune to risk appetite). Weighted maturity = Weight × Maturity.</x:t>
  </x:si>
  <x:si>
    <x:t xml:space="preserve">Control Library - SAFR (Safeguards for Agentic Finance at Runtime) — Control Tracker</x:t>
  </x:si>
  <x:si>
    <x:t xml:space="preserve">SAFR Control ID</x:t>
  </x:si>
  <x:si>
    <x:t xml:space="preserve">Control / recommended measure</x:t>
  </x:si>
  <x:si>
    <x:t xml:space="preserve">Linked stress test</x:t>
  </x:si>
  <x:si>
    <x:t xml:space="preserve">Linked MAS | MGF</x:t>
  </x:si>
  <x:si>
    <x:t xml:space="preserve">S1 Policy-bound execution</x:t>
  </x:si>
  <x:si>
    <x:t xml:space="preserve">S1.1  ★</x:t>
  </x:si>
  <x:si>
    <x:t xml:space="preserve">Agent identity &amp; registration</x:t>
  </x:si>
  <x:si>
    <x:t xml:space="preserve">Ensure every acting agent is uniquely identified and registered before it can transact</x:t>
  </x:si>
  <x:si>
    <x:t xml:space="preserve">A.3 Roles &amp; responsibilities; A.9 Use of AI systems</x:t>
  </x:si>
  <x:si>
    <x:t xml:space="preserve">GOVERN 2.1; MAP 1.1</x:t>
  </x:si>
  <x:si>
    <x:t xml:space="preserve">InfoSec / AI Risk (2nd line)</x:t>
  </x:si>
  <x:si>
    <x:t xml:space="preserve">Play 1, 11</x:t>
  </x:si>
  <x:si>
    <x:t xml:space="preserve">MAS F3 | MGF D1.5</x:t>
  </x:si>
  <x:si>
    <x:t xml:space="preserve">D1. Obtain the register or inventory specification for Agent identity &amp; registration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x:t>
  </x:si>
  <x:si>
    <x:t xml:space="preserve">e1. A register covering Agent identity &amp; registration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x:t>
  </x:si>
  <x:si>
    <x:t xml:space="preserve">S1.2  ★</x:t>
  </x:si>
  <x:si>
    <x:t xml:space="preserve">Agent mandate definition</x:t>
  </x:si>
  <x:si>
    <x:t xml:space="preserve">Grant each agent an explicit, bounded authority — permitted actions, counterparties, value/exposure limits</x:t>
  </x:si>
  <x:si>
    <x:t xml:space="preserve">A.6 AI system life cycle; A.9</x:t>
  </x:si>
  <x:si>
    <x:t xml:space="preserve">GOVERN 1.3; MANAGE 1.3</x:t>
  </x:si>
  <x:si>
    <x:t xml:space="preserve">Play 3, 11</x:t>
  </x:si>
  <x:si>
    <x:t xml:space="preserve">ST-13</x:t>
  </x:si>
  <x:si>
    <x:t xml:space="preserve">MAS M2.3 | MGF D1.3, D2.1</x:t>
  </x:si>
  <x:si>
    <x:t xml:space="preserve">D1. Obtain the definition of the authority boundary for Agent mandate definition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</x:si>
  <x:si>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Agent mandate definition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</x:si>
  <x:si>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S1.3  ★</x:t>
  </x:si>
  <x:si>
    <x:t xml:space="preserve">Institutional controls repository</x:t>
  </x:si>
  <x:si>
    <x:t xml:space="preserve">Encode policies, rules and risk thresholds in a queryable repository the runtime checks against</x:t>
  </x:si>
  <x:si>
    <x:t xml:space="preserve">Governance &amp; Oversight</x:t>
  </x:si>
  <x:si>
    <x:t xml:space="preserve">A.2 AI policy; A.4 Resources</x:t>
  </x:si>
  <x:si>
    <x:t xml:space="preserve">GOVERN 1.1, 4.1</x:t>
  </x:si>
  <x:si>
    <x:t xml:space="preserve">MAS M3.7 | MGF D3.1</x:t>
  </x:si>
  <x:si>
    <x:t xml:space="preserve">D1. Obtain the approved policy or standard covering Institutional controls repository,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</x:si>
  <x:si>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Institutional controls repository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</x:si>
  <x:si>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S1.4  ★</x:t>
  </x:si>
  <x:si>
    <x:t xml:space="preserve">Pre-execution authority check</x:t>
  </x:si>
  <x:si>
    <x:t xml:space="preserve">Test every proposed action against the agent's mandate before it executes</x:t>
  </x:si>
  <x:si>
    <x:t xml:space="preserve">MANAGE 2.3; MEASURE 3.1</x:t>
  </x:si>
  <x:si>
    <x:t xml:space="preserve">InfoSec / Model Owner</x:t>
  </x:si>
  <x:si>
    <x:t xml:space="preserve">MAS M3.7 | MGF D1.4, D3.1, D3.7</x:t>
  </x:si>
  <x:si>
    <x:t xml:space="preserve">D1. Obtain the definition of the authority boundary for Pre-execution authority check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</x:si>
  <x:si>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Pre-execution authority check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</x:si>
  <x:si>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S1.5</x:t>
  </x:si>
  <x:si>
    <x:t xml:space="preserve">Risk-threshold binding</x:t>
  </x:si>
  <x:si>
    <x:t xml:space="preserve">Bind monetary, exposure and sensitivity thresholds to the pre-execution check</x:t>
  </x:si>
  <x:si>
    <x:t xml:space="preserve">MAP 2.3; MANAGE 1.3</x:t>
  </x:si>
  <x:si>
    <x:t xml:space="preserve">MAS M2.3 | MGF D1.1</x:t>
  </x:si>
  <x:si>
    <x:t xml:space="preserve">D1. Obtain the monitoring design for Risk-threshold binding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</x:si>
  <x:si>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Risk-threshold binding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</x:si>
  <x:si>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S2 Real-time validation</x:t>
  </x:si>
  <x:si>
    <x:t xml:space="preserve">S2.1  ★</x:t>
  </x:si>
  <x:si>
    <x:t xml:space="preserve">Disposition engine</x:t>
  </x:si>
  <x:si>
    <x:t xml:space="preserve">Evaluate each proposed action at runtime and assign a disposition before execution</x:t>
  </x:si>
  <x:si>
    <x:t xml:space="preserve">MEASURE 2.7; MANAGE 2.3</x:t>
  </x:si>
  <x:si>
    <x:t xml:space="preserve">ST-11</x:t>
  </x:si>
  <x:si>
    <x:t xml:space="preserve">MAS M3.4 | MGF D3.11</x:t>
  </x:si>
  <x:si>
    <x:t xml:space="preserve">D1. Obtain the approved validation or evaluation methodology for Disposition engine — scope, test types, datasets, metrics and acceptance thresholds.
D2. Confirm acceptance thresholds are stated in advance of testing and are specific to the use case rather than generic.
D3. Confirm independence: who performs the validation and how they are separated from the team that built the system.
D4. Confirm the methodology covers the failure modes the system can actually produce, including the ones a benchmark score does not capture.
D5. Confirm the disposition rule — what happens when a threshold is missed, and who may accept a shortfall.
Design verdict: ADEQUATE when D1-D3 and D5 hold. PARTIALLY ADEQUATE when tests are defined but thresholds are set after results, or independence is unclear. INADEQUATE when no acceptance criterion exists. NOT TESTABLE when the methodology is not produced.</x:t>
  </x:si>
  <x:si>
    <x:t xml:space="preserve">e1. An approved validation or evaluation method for Disposition engine exists
e2. Acceptance thresholds are stated before results are seen
e3. The validator is independent of the team that built the system
e4. The validation covers the version that was deployed
e5. Results are supported by retained underlying data, not only a summary
e6. Shortfalls against threshold are remediated, re-tested or formally accepted</x:t>
  </x:si>
  <x:si>
    <x:t xml:space="preserve">S2.2</x:t>
  </x:si>
  <x:si>
    <x:t xml:space="preserve">Automated approval path</x:t>
  </x:si>
  <x:si>
    <x:t xml:space="preserve">Auto-execute actions that fall within mandate and thresholds</x:t>
  </x:si>
  <x:si>
    <x:t xml:space="preserve">Lifecycle: Deployment</x:t>
  </x:si>
  <x:si>
    <x:t xml:space="preserve">MAS M3.4 | MGF D2.3</x:t>
  </x:si>
  <x:si>
    <x:t xml:space="preserve">D1. Obtain the oversight design for Automated approval path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x:t>
  </x:si>
  <x:si>
    <x:t xml:space="preserve">e1. Oversight points for Automated approval path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x:t>
  </x:si>
  <x:si>
    <x:t xml:space="preserve">S2.3  ★</x:t>
  </x:si>
  <x:si>
    <x:t xml:space="preserve">Human-in-the-loop escalation</x:t>
  </x:si>
  <x:si>
    <x:t xml:space="preserve">Route out-of-bounds or ambiguous actions to a named human for review before execution</x:t>
  </x:si>
  <x:si>
    <x:t xml:space="preserve">Human Oversight</x:t>
  </x:si>
  <x:si>
    <x:t xml:space="preserve">A.9; A.8 Information for interested parties</x:t>
  </x:si>
  <x:si>
    <x:t xml:space="preserve">Model Owner / AI Risk Committee</x:t>
  </x:si>
  <x:si>
    <x:t xml:space="preserve">MAS M3.4 | MGF D2.3, D2.4</x:t>
  </x:si>
  <x:si>
    <x:t xml:space="preserve">D1. Obtain the incident or escalation procedure covering Human-in-the-loop escalation — what constitutes an AI incident, severity criteria, and the trigger for invoking it.
D2. Confirm AI-specific incident types are named, not only availability and security — for example harmful output, mandate breach, unexpected autonomous action, drift beyond tolerance.
D3. Confirm roles, notification paths, timeframes per severity and the authority to contain or halt.
D4. Confirm the containment mechanism is specified and testable, including who may invoke it and how quickly it takes effect.
D5. Confirm post-incident review, root cause and the route by which lessons change a control.
Design verdict: ADEQUATE when D1-D4 hold. PARTIALLY ADEQUATE when the procedure is generic and does not name AI failure types, or containment authority is unclear. INADEQUATE when no trigger or severity scheme exists. NOT TESTABLE when the procedure is not produced.</x:t>
  </x:si>
  <x:si>
    <x:t xml:space="preserve">PA 3, PA 10</x:t>
  </x:si>
  <x:si>
    <x:t xml:space="preserve">e1. An incident procedure covering Human-in-the-loop escalation exists with severity criteria
e2. AI-specific incident types are named
e3. Notification paths and timeframes are defined per severity
e4. A containment or halt mechanism is specified with a named invoking authority
e5. Incidents in the period were detected, escalated and contained within target
e6. Post-incident review produced actions traced to closure or to a control change</x:t>
  </x:si>
  <x:si>
    <x:t xml:space="preserve">S2.4</x:t>
  </x:si>
  <x:si>
    <x:t xml:space="preserve">Reject / block path</x:t>
  </x:si>
  <x:si>
    <x:t xml:space="preserve">Block actions outside mandate at the point of action</x:t>
  </x:si>
  <x:si>
    <x:t xml:space="preserve">MAS M3.11 | MGF D3.3</x:t>
  </x:si>
  <x:si>
    <x:t xml:space="preserve">D1. Obtain the definition of the authority boundary for Reject / block path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</x:si>
  <x:si>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Reject / block path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</x:si>
  <x:si>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S2.5</x:t>
  </x:si>
  <x:si>
    <x:t xml:space="preserve">Proceed-and-flag path</x:t>
  </x:si>
  <x:si>
    <x:t xml:space="preserve">Permit lower-risk actions to proceed while flagging them for monitoring</x:t>
  </x:si>
  <x:si>
    <x:t xml:space="preserve">Monitoring</x:t>
  </x:si>
  <x:si>
    <x:t xml:space="preserve">MAS M3.10 | MGF D3.11, D3.12</x:t>
  </x:si>
  <x:si>
    <x:t xml:space="preserve">D1. Obtain the monitoring design for Proceed-and-flag path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</x:si>
  <x:si>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Proceed-and-flag path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</x:si>
  <x:si>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S2.6</x:t>
  </x:si>
  <x:si>
    <x:t xml:space="preserve">Checkpoint resilience</x:t>
  </x:si>
  <x:si>
    <x:t xml:space="preserve">Ensure the runtime checkpoint is highly available and not itself a single point of failure</x:t>
  </x:si>
  <x:si>
    <x:t xml:space="preserve">Operational Resilience</x:t>
  </x:si>
  <x:si>
    <x:t xml:space="preserve">A.6; A.4 Resources</x:t>
  </x:si>
  <x:si>
    <x:t xml:space="preserve">MANAGE 2.4; MEASURE 2.7</x:t>
  </x:si>
  <x:si>
    <x:t xml:space="preserve">InfoSec / Technology</x:t>
  </x:si>
  <x:si>
    <x:t xml:space="preserve">MAS M3.10 | MGF D3.16</x:t>
  </x:si>
  <x:si>
    <x:t xml:space="preserve">D1. Obtain the oversight design for Checkpoint resilience — at which points a person acts, what they receive, and what authority they hold.
D2. Confirm the design distinguishes deciding from reviewing: state whether the human decides, may veto, or is merely informed, and what happens if they do nothing.
D3. Confirm the information the reviewer receives is sufficient to disagree — inputs, confidence or uncertainty, and the basis of the recommendation.
D4. Confirm the override route exists, is usable in the time available, and records a reason.
D5. Confirm competence and capacity: who may act in the role, and whether the volume allows genuine review.
Design verdict: ADEQUATE when D1-D4 hold. PARTIALLY ADEQUATE when a review point exists but authority or information sufficiency is undefined. INADEQUATE when no human authority to stop or change the outcome exists. NOT TESTABLE when the design is not produced.</x:t>
  </x:si>
  <x:si>
    <x:t xml:space="preserve">e1. Oversight points for Checkpoint resilience are defined with the human's authority stated
e2. The design states whether the human decides, may veto, or is informed
e3. The reviewer receives information sufficient to disagree
e4. An override route exists, is usable in time, and records a reason
e5. Reviewer competence and capacity are addressed
e6. Reviews in the period preceded the action and recorded a reasoned decision</x:t>
  </x:si>
  <x:si>
    <x:t xml:space="preserve">S3 Auditability</x:t>
  </x:si>
  <x:si>
    <x:t xml:space="preserve">S3.1  ★</x:t>
  </x:si>
  <x:si>
    <x:t xml:space="preserve">Tamper-evident audit log</x:t>
  </x:si>
  <x:si>
    <x:t xml:space="preserve">Record each governance decision in an immutable, tamper-evident log</x:t>
  </x:si>
  <x:si>
    <x:t xml:space="preserve">Records &amp; Auditability</x:t>
  </x:si>
  <x:si>
    <x:t xml:space="preserve">A.9; A.4 Resources</x:t>
  </x:si>
  <x:si>
    <x:t xml:space="preserve">InfoSec / Internal Audit</x:t>
  </x:si>
  <x:si>
    <x:t xml:space="preserve">ST-12</x:t>
  </x:si>
  <x:si>
    <x:t xml:space="preserve">MAS M3.8 | MGF D3.6, D3.13</x:t>
  </x:si>
  <x:si>
    <x:t xml:space="preserve">D1. Obtain the logging or traceability design for Tamper-evident audit log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x:t>
  </x:si>
  <x:si>
    <x:t xml:space="preserve">e1. A logging or traceability design covering Tamper-evident audit log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x:t>
  </x:si>
  <x:si>
    <x:t xml:space="preserve">S3.2</x:t>
  </x:si>
  <x:si>
    <x:t xml:space="preserve">Decision-record content</x:t>
  </x:si>
  <x:si>
    <x:t xml:space="preserve">Capture proposed action, rules applied, disposition, agent identity and timestamp per record</x:t>
  </x:si>
  <x:si>
    <x:t xml:space="preserve">Transparency (FEAT F4)</x:t>
  </x:si>
  <x:si>
    <x:t xml:space="preserve">A.8; A.9</x:t>
  </x:si>
  <x:si>
    <x:t xml:space="preserve">MAP 1.1; MEASURE 3.1</x:t>
  </x:si>
  <x:si>
    <x:t xml:space="preserve">InfoSec / Compliance</x:t>
  </x:si>
  <x:si>
    <x:t xml:space="preserve">MAS M3.3, F4 | MGF D2.7, D3.13</x:t>
  </x:si>
  <x:si>
    <x:t xml:space="preserve">D1. Obtain the register or inventory specification for Decision-record content — its required fields, unique identifier, ownership field, lifecycle status and retirement rule.
D2. Confirm the specification defines what triggers a record being created, and at what point relative to first use, so completeness has a testable meaning.
D3. Confirm the authoritative source and the reconciliation route used to prove the register is complete against the real estate.
D4. Confirm update and attestation cadence, and who is accountable for accuracy.
Design verdict: ADEQUATE when D1-D3 hold. PARTIALLY ADEQUATE when fields and ownership are defined but no completeness route exists. INADEQUATE when there is no unique identifier or no owner field. NOT TESTABLE when the specification is not produced.</x:t>
  </x:si>
  <x:si>
    <x:t xml:space="preserve">e1. A register covering Decision-record content exists with a defined field set
e2. Each record carries a unique identifier and a named owner
e3. The trigger and timing for creating a record are defined relative to first use
e4. An independent source exists against which completeness can be reconciled
e5. The register is current — status, version and retirement are maintained
e6. Sampled records reconcile to the deployed reality they describe</x:t>
  </x:si>
  <x:si>
    <x:t xml:space="preserve">S3.3</x:t>
  </x:si>
  <x:si>
    <x:t xml:space="preserve">Traceability to mandate &amp; policy version</x:t>
  </x:si>
  <x:si>
    <x:t xml:space="preserve">Link each record to the controls-repository / mandate version that governed the action</x:t>
  </x:si>
  <x:si>
    <x:t xml:space="preserve">Accountability (FEAT F3)</x:t>
  </x:si>
  <x:si>
    <x:t xml:space="preserve">A.6; A.2 AI policy</x:t>
  </x:si>
  <x:si>
    <x:t xml:space="preserve">GOVERN 1.3; MEASURE 3.1</x:t>
  </x:si>
  <x:si>
    <x:t xml:space="preserve">Play 8, 11</x:t>
  </x:si>
  <x:si>
    <x:t xml:space="preserve">D1. Obtain the definition of the authority boundary for Traceability to mandate &amp; policy version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</x:si>
  <x:si>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e1. The authority boundary for Traceability to mandate &amp; policy version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</x:si>
  <x:si>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S3.4</x:t>
  </x:si>
  <x:si>
    <x:t xml:space="preserve">Supervisory &amp; audit evidence</x:t>
  </x:si>
  <x:si>
    <x:t xml:space="preserve">Make logs retrievable for internal audit, compliance and MAS supervisory review</x:t>
  </x:si>
  <x:si>
    <x:t xml:space="preserve">GOVERN 1.1; MEASURE 3.1</x:t>
  </x:si>
  <x:si>
    <x:t xml:space="preserve">Compliance &amp; Legal / Internal Audit</x:t>
  </x:si>
  <x:si>
    <x:t xml:space="preserve">MAS M3.8 | MGF D3.13</x:t>
  </x:si>
  <x:si>
    <x:t xml:space="preserve">D1. Obtain the logging or traceability design for Supervisory &amp; audit evidence — what is captured, at what granularity, where it is stored and for how long.
D2. Confirm the captured fields are sufficient to reconstruct a specific decision or action after the fact, including the inputs, the version in force and the identity that acted.
D3. Confirm integrity controls — who can amend or delete, and how tampering would be detected.
D4. Confirm retention meets the longest applicable obligation and that retrieval within a stated time is possible.
Design verdict: ADEQUATE when D1-D3 hold. PARTIALLY ADEQUATE when capture is defined but integrity or retention is not. INADEQUATE when reconstruction is impossible from the defined fields. NOT TESTABLE when the design is not produced.</x:t>
  </x:si>
  <x:si>
    <x:t xml:space="preserve">e1. A logging or traceability design covering Supervisory &amp; audit evidence exists
e2. Captured fields allow a past action to be reconstructed, including the version and the acting identity
e3. Amendment and deletion are restricted and detectable
e4. Retention meets the longest applicable obligation
e5. Capture was continuous across the period
e6. A real past event has been reconstructed from the retained records</x:t>
  </x:si>
  <x:si>
    <x:t xml:space="preserve">S3.5</x:t>
  </x:si>
  <x:si>
    <x:t xml:space="preserve">Review of flagged actions</x:t>
  </x:si>
  <x:si>
    <x:t xml:space="preserve">Ensure proceed-and-flag items are actually reviewed and dispositioned post-hoc</x:t>
  </x:si>
  <x:si>
    <x:t xml:space="preserve">MAS M3.10 | MGF D2.5, D3.14, D3.15</x:t>
  </x:si>
  <x:si>
    <x:t xml:space="preserve">D1. Obtain the monitoring design for Review of flagged actions — the metrics, their thresholds, the observation window and the alerting route.
D2. Confirm the metrics correspond to the failure the control exists to catch, not only to availability or infrastructure health.
D3. Confirm each alert has a named recipient, a required response time and a disposition record.
D4. Confirm how the detector itself is validated — how anyone knows an alert would fire if the condition occurred.
Design verdict: ADEQUATE when D1-D3 hold and D4 identifies a test route. PARTIALLY ADEQUATE when metrics and thresholds exist but ownership or detector assurance is absent. INADEQUATE when thresholds are undefined. NOT TESTABLE when the monitoring configuration is not produced.</x:t>
  </x:si>
  <x:si>
    <x:t xml:space="preserve">e1. Metrics and thresholds for Review of flagged actions are defined and approved
e2. The metrics detect the failure the control exists to catch
e3. Alerts route to a named owner with a stated response time
e4. Monitoring ran across the whole period with gaps identified
e5. Alerts raised were dispositioned with a recorded outcome
e6. The detector has been tested or back-tested, so silence is evidence</x:t>
  </x:si>
  <x:si>
    <x:t xml:space="preserve">S4 Interoperability</x:t>
  </x:si>
  <x:si>
    <x:t xml:space="preserve">S4.1</x:t>
  </x:si>
  <x:si>
    <x:t xml:space="preserve">Integration-model selection</x:t>
  </x:si>
  <x:si>
    <x:t xml:space="preserve">Document native-embedding vs. gateway-interception choice per agent / system</x:t>
  </x:si>
  <x:si>
    <x:t xml:space="preserve">MAP 1.1; MANAGE 2.4</x:t>
  </x:si>
  <x:si>
    <x:t xml:space="preserve">MAS M3.5</x:t>
  </x:si>
  <x:si>
    <x:t xml:space="preserve">D1. Obtain the approved methodology and template for Integration-model selection — trigger, criteria, scoring or classification scheme, and the decision each outcome drives.
D2. Confirm the criteria are discriminating: different inputs produce different outcomes, and the thresholds between tiers are stated numerically or by defined rule rather than by judgement alone.
D3. Confirm the assessment must be completed before the decision it informs, and who approves the outcome.
D4. Confirm reassessment triggers — material change, incident, elapsed time — and who is accountable for detecting them.
D5. Confirm what an outcome obliges: which controls a tier turns on, so classification is load-bearing rather than descriptive.
Design verdict: ADEQUATE when D1-D3 and D5 hold. PARTIALLY ADEQUATE when the method exists but thresholds or consequences are undefined. INADEQUATE when outcomes drive nothing. NOT TESTABLE when the approved methodology is not produced.</x:t>
  </x:si>
  <x:si>
    <x:t xml:space="preserve">e1. An approved methodology for Integration-model selection exists with defined criteria
e2. Tier or outcome thresholds are stated by rule rather than by unaided judgement
e3. The assessment is required before the decision it informs
e4. The outcome is approved by a role independent of the requester
e5. Each outcome obliges a defined set of controls or gates
e6. Reassessment triggers are defined and detected</x:t>
  </x:si>
  <x:si>
    <x:t xml:space="preserve">S4.2</x:t>
  </x:si>
  <x:si>
    <x:t xml:space="preserve">Gateway interception of actions</x:t>
  </x:si>
  <x:si>
    <x:t xml:space="preserve">Provide an API-level chokepoint that intercepts outbound agent actions where native embedding isn't feasible</x:t>
  </x:si>
  <x:si>
    <x:t xml:space="preserve">ST-14</x:t>
  </x:si>
  <x:si>
    <x:t xml:space="preserve">D1. Obtain the definition of the authority boundary for Gateway interception of actions — permitted actions, counterparties, value or exposure limits, data scope and the systems it may write to.
D2. Confirm the boundary is expressed where it is enforced, not only in a document — a configuration, a policy object or a runtime guardrail.
D3. Confirm who grants and who approves a change to the boundary, and that the two are separated from the requester.
D4. Confirm what happens at the boundary: hard block, human referral or log-and-continue, and that the choice is approved.
D5. Confirm periodic recertification of granted authority, with a defined cadence and an accountable reviewer.
Design verdict: ADEQUATE when D1-D4 hold. PARTIALLY ADEQUATE when limits are documented but not enforced, or recertification is absent. INADEQUATE when no boundary is defined. NOT TESTABLE when the authoritative definition is not produced.</x:t>
  </x:si>
  <x:si>
    <x:t xml:space="preserve">PA 8</x:t>
  </x:si>
  <x:si>
    <x:t xml:space="preserve">e1. The authority boundary for Gateway interception of actions is explicitly defined
e2. The boundary is enforced in configuration or at runtime, not only stated in a document
e3. Grant and approval of authority are separated from the requester
e4. The behaviour at the boundary — block, refer or log — is approved
e5. Overrides are approved by a role with authority and carry a recorded reason
e6. Granted authority is recertified on a defined cadence and revocations take effect</x:t>
  </x:si>
  <x:si>
    <x:t xml:space="preserve">S4.3</x:t>
  </x:si>
  <x:si>
    <x:t xml:space="preserve">Standard governance-record schema</x:t>
  </x:si>
  <x:si>
    <x:t xml:space="preserve">Adopt a portable, consistent record schema across agents and systems</x:t>
  </x:si>
  <x:si>
    <x:t xml:space="preserve">MAS M3.8</x:t>
  </x:si>
  <x:si>
    <x:t xml:space="preserve">D1. Obtain the approved policy or standard covering Standard governance-record schema,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</x:si>
  <x:si>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Standard governance-record schema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</x:si>
  <x:si>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S4.4</x:t>
  </x:si>
  <x:si>
    <x:t xml:space="preserve">Cross-system enforcement consistency</x:t>
  </x:si>
  <x:si>
    <x:t xml:space="preserve">Enforce the same mandate and policy regardless of the downstream system acted upon</x:t>
  </x:si>
  <x:si>
    <x:t xml:space="preserve">A.9; A.6</x:t>
  </x:si>
  <x:si>
    <x:t xml:space="preserve">GOVERN 1.3; MANAGE 2.3</x:t>
  </x:si>
  <x:si>
    <x:t xml:space="preserve">MAS M3.14 | MGF D1.6, D3.9</x:t>
  </x:si>
  <x:si>
    <x:t xml:space="preserve">D1. Obtain the approved policy or standard covering Cross-system enforcement consistency, with its approval record, owner and version history.
D2. Confirm it states scope (which systems, models and uses it binds), prohibited and controlled uses, the accountable owner and the consequence of non-compliance.
D3. Confirm it defines the exception route — who may grant one, on what basis, for how long, and where exceptions are recorded.
D4. Confirm the review cycle and the triggers for out-of-cycle review, and that the document is within its cycle.
D5. Confirm the policy is mapped to the controls, plays or procedures that implement it, so a requirement is not left with nothing that operates it.
Design verdict: ADEQUATE when D1-D3 hold and D5 identifies at least one implementing control. PARTIALLY ADEQUATE when the policy exists but the exception route or implementing link is absent. INADEQUATE when scope or ownership is undefined. NOT TESTABLE when the approved document is not produced.</x:t>
  </x:si>
  <x:si>
    <x:t xml:space="preserve">e1. An approved, current policy or standard covering Cross-system enforcement consistency exists
e2. Its scope names the systems, models or uses it binds
e3. An accountable owner is named
e4. Prohibited or controlled uses and the consequence of non-compliance are stated
e5. An exception route with grantor, basis, expiry and record location is defined
e6. In-scope activity in the period followed the policy, or holds a live exception</x:t>
  </x:si>
  <x:si>
    <x:t xml:space="preserve">S4.5</x:t>
  </x:si>
  <x:si>
    <x:t xml:space="preserve">Third-party / vendor agent coverage</x:t>
  </x:si>
  <x:si>
    <x:t xml:space="preserve">Subject externally-sourced agents to the same runtime checks and logging</x:t>
  </x:si>
  <x:si>
    <x:t xml:space="preserve">Third-Party Risk</x:t>
  </x:si>
  <x:si>
    <x:t xml:space="preserve">A.10 Third-party; A.9</x:t>
  </x:si>
  <x:si>
    <x:t xml:space="preserve">GOVERN 3.2; MANAGE 3.1</x:t>
  </x:si>
  <x:si>
    <x:t xml:space="preserve">AI Risk (2nd line) / Compliance</x:t>
  </x:si>
  <x:si>
    <x:t xml:space="preserve">Play 7, 11</x:t>
  </x:si>
  <x:si>
    <x:t xml:space="preserve">MAS M3.14 | MGF D1.6</x:t>
  </x:si>
  <x:si>
    <x:t xml:space="preserve">D1. Obtain the third-party requirements covering Third-party / vendor agent coverage — the due-diligence scope, the contractual clauses required and the approval route before onboarding.
D2. Confirm the due diligence covers what the provider does with the institution's data, the provider's own model change practice, and its notification obligations on material change or incident.
D3. Confirm contractual rights: audit or assurance report access, notification periods, exit and transition, and liability for model behaviour.
D4. Confirm the ongoing obligation — reassessment cadence, performance monitoring and the trigger for re-approval.
D5. Confirm the treatment of sub-processors and of models embedded in a purchased product, where the AI is not the thing being bought.
Design verdict: ADEQUATE when D1-D4 hold. PARTIALLY ADEQUATE when diligence is defined but ongoing obligations or embedded-AI treatment is absent. INADEQUATE when no pre-onboarding assessment is required. NOT TESTABLE when the requirements are not produced.</x:t>
  </x:si>
  <x:si>
    <x:t xml:space="preserve">e1. Third-party requirements covering Third-party / vendor agent coverage exist and are approved
e2. Due diligence is required before contract or first production use
e3. Required contractual clauses are specified, including notification and assurance access
e4. Sub-processors and embedded AI are within scope
e5. Reassessment cadence and change triggers are defined
e6. Assurance reports or equivalent are obtained and findings dispositioned</x:t>
  </x:si>
  <x:si>
    <x:t xml:space="preserve">★ = load-bearing SAFR safeguard.  Weight = criticality (seeded default — tune to risk appetite).  Weighted maturity = Weight × Maturity.</x:t>
  </x:si>
  <x:si>
    <x:t xml:space="preserve">Basis: SAFR white paper (MAS / BuildFin.ai, 3 Jul 2026) — four safeguard principles (policy-bound execution, real-time validation, auditability, interoperability) and four components (agent identity, controls repository, disposition engine, audit log). Control IDs S1–S4 are this playbook's working derivations, not MAS-issued numbered controls. ISO / NIST / MAS mappings are section / function-level and should be reconciled against the primary PDF and your Control Library IDs before external use.</x:t>
  </x:si>
  <x:si>
    <x:t xml:space="preserve">CSA Priority-Action Crosswalk — mapped to Playbook control IDs</x:t>
  </x:si>
  <x:si>
    <x:t xml:space="preserve">CSA Priority Action</x:t>
  </x:si>
  <x:si>
    <x:t xml:space="preserve">What it requires</x:t>
  </x:si>
  <x:si>
    <x:t xml:space="preserve">CSA source refs (OWASP / ATLAS / NIST CSF 2.0)</x:t>
  </x:si>
  <x:si>
    <x:t xml:space="preserve">MAS (M / F)</x:t>
  </x:si>
  <x:si>
    <x:t xml:space="preserve">MGF Agentic (D)</x:t>
  </x:si>
  <x:si>
    <x:t xml:space="preserve">SAFR (S)</x:t>
  </x:si>
  <x:si>
    <x:t xml:space="preserve">Fit</x:t>
  </x:si>
  <x:si>
    <x:t xml:space="preserve">Scope / 2LoD challenge note</x:t>
  </x:si>
  <x:si>
    <x:t xml:space="preserve">PA 1 · Point Agents at Your Code &amp; Pipelines</x:t>
  </x:si>
  <x:si>
    <x:t xml:space="preserve">Turn agents inward — run LLM security review across own code and CI/CD before merge; shift left into developers' coding agents.</x:t>
  </x:si>
  <x:si>
    <x:t xml:space="preserve">LLM01, LLM05, LLM08, ASI01, AML.T0018, AML.T0051.001, PR.PS, ID.IM</x:t>
  </x:si>
  <x:si>
    <x:t xml:space="preserve">M3.6, M3.7</x:t>
  </x:si>
  <x:si>
    <x:t xml:space="preserve">D3.8, D3.9</x:t>
  </x:si>
  <x:si>
    <x:t xml:space="preserve">Partial</x:t>
  </x:si>
  <x:si>
    <x:t xml:space="preserve">A practice, not a control. The Playbook governs the review agent itself (D1.4 least-privilege, D3.2 sandbox), not the act of scanning.</x:t>
  </x:si>
  <x:si>
    <x:t xml:space="preserve">PA 2 · Require AI Agent Adoption</x:t>
  </x:si>
  <x:si>
    <x:t xml:space="preserve">Formalise and mandate agent use across security functions with mandatory controls and oversight; optional programs don't overcome cultural barriers.</x:t>
  </x:si>
  <x:si>
    <x:t xml:space="preserve">GV.OC, GV.RM, DE.CM, RS.MA</x:t>
  </x:si>
  <x:si>
    <x:t xml:space="preserve">M1.1, M1.2, M1.5, M2.1, M2.2</x:t>
  </x:si>
  <x:si>
    <x:t xml:space="preserve">Core</x:t>
  </x:si>
  <x:si>
    <x:t xml:space="preserve">Adoption sits behind the governance + inventory gate — mandate is not ungoverned rollout.</x:t>
  </x:si>
  <x:si>
    <x:t xml:space="preserve">PA 3 · Defend Your Agents</x:t>
  </x:si>
  <x:si>
    <x:t xml:space="preserve">Treat agents as privileged, insecure-by-default; audit the harness (prompts, tools, retrieval, escalation); bound scope, blast radius and human override; secure the agentic supply chain (MCP, extensions, skills).</x:t>
  </x:si>
  <x:si>
    <x:t xml:space="preserve">LLM06, ASI02, ASI03, AML.T0047, PR.AA, GV.SC</x:t>
  </x:si>
  <x:si>
    <x:t xml:space="preserve">M3.15, M3.14, M3.7</x:t>
  </x:si>
  <x:si>
    <x:t xml:space="preserve">D1.3, D1.4, D1.5, D1.6, D3.1, D3.2, D3.3, D3.7, D3.11</x:t>
  </x:si>
  <x:si>
    <x:t xml:space="preserve">S1.1, S1.2, S1.4, S2.3, S4.5</x:t>
  </x:si>
  <x:si>
    <x:t xml:space="preserve">The register's centre of gravity — spans most of D1/D3 and S1/S4. Agentic supply chain = D1.6 / M3.14 / S4.5.</x:t>
  </x:si>
  <x:si>
    <x:t xml:space="preserve">PA 4 · Establish Innovation, Acceleration Governance</x:t>
  </x:si>
  <x:si>
    <x:t xml:space="preserve">Cross-functional Security / Legal / Engineering forum to evaluate threats and fast-track defensive-tech onboarding.</x:t>
  </x:si>
  <x:si>
    <x:t xml:space="preserve">GV.OC, GV.RM, GV.RR, GV.OV</x:t>
  </x:si>
  <x:si>
    <x:t xml:space="preserve">M1.3, M1.4</x:t>
  </x:si>
  <x:si>
    <x:t xml:space="preserve">2LoD tension — acceleration (D2.2 adaptive governance) must stay bounded by M1.4 risk appetite; speed does not dissolve the approval gate.</x:t>
  </x:si>
  <x:si>
    <x:t xml:space="preserve">PA 5 · Prepare for Continuous Patching</x:t>
  </x:si>
  <x:si>
    <x:t xml:space="preserve">Build triage and deployment capacity for a potential flood of patches as Glasswing-driven disclosures land.</x:t>
  </x:si>
  <x:si>
    <x:t xml:space="preserve">AML.T0040, AML.T0043, PR.PS, PR.IR</x:t>
  </x:si>
  <x:si>
    <x:t xml:space="preserve">M3.12, M4.2</x:t>
  </x:si>
  <x:si>
    <x:t xml:space="preserve">AI-slice only (model / agent updates). Estate-wide patch and vulnerability management lives in MAS TRM, not this Playbook.</x:t>
  </x:si>
  <x:si>
    <x:t xml:space="preserve">PA 6 · Update Risk Models &amp; Reporting</x:t>
  </x:si>
  <x:si>
    <x:t xml:space="preserve">Update metrics, reporting and business-risk calculations to reflect AI-accelerated exploit timelines; communicate the shift to stakeholders.</x:t>
  </x:si>
  <x:si>
    <x:t xml:space="preserve">GV.OC, GV.RM, RS.CO</x:t>
  </x:si>
  <x:si>
    <x:t xml:space="preserve">M2.3, M2.4, M3.10, M1.1</x:t>
  </x:si>
  <x:si>
    <x:t xml:space="preserve">Your 2LoD seat; the Maturity Dashboard is the instrument. Ratings should track live residual exposure, not remediation paperwork.</x:t>
  </x:si>
  <x:si>
    <x:t xml:space="preserve">PA 7 · Inventory &amp; Reduce Attack Surface</x:t>
  </x:si>
  <x:si>
    <x:t xml:space="preserve">Build / maintain a continuous inventory, generate real SBOMs, decommission unneeded functionality, isolate or air-gap at-risk systems.</x:t>
  </x:si>
  <x:si>
    <x:t xml:space="preserve">ASI04, AML.T0000, ID.AM, GV.SC</x:t>
  </x:si>
  <x:si>
    <x:t xml:space="preserve">M2.1, M2.2, M3.13</x:t>
  </x:si>
  <x:si>
    <x:t xml:space="preserve">D1.1, D1.6</x:t>
  </x:si>
  <x:si>
    <x:t xml:space="preserve">Inventory (M2.2) + safe decommission (M3.13); software / dependency SBOM via M3.14 / D1.6.</x:t>
  </x:si>
  <x:si>
    <x:t xml:space="preserve">PA 8 · Harden Your Environment</x:t>
  </x:si>
  <x:si>
    <x:t xml:space="preserve">Egress filtering, deep segmentation, zero trust, dependency lockdown, phishing-resistant MFA, software minimisation.</x:t>
  </x:si>
  <x:si>
    <x:t xml:space="preserve">PR.IR, PR.PS</x:t>
  </x:si>
  <x:si>
    <x:t xml:space="preserve">D3.1, D3.2, D3.3, D3.7</x:t>
  </x:si>
  <x:si>
    <x:t xml:space="preserve">AI-slice only. Classic network / MFA / segmentation hardening sits in MAS TRM. S4.2 gateway interception = the agent-action enforcement point.</x:t>
  </x:si>
  <x:si>
    <x:t xml:space="preserve">PA 9 · Build a Deception Capability</x:t>
  </x:si>
  <x:si>
    <x:t xml:space="preserve">Deploy canaries and honey tokens, layer behavioural monitoring, pre-authorise containment, build machine-speed response playbooks.</x:t>
  </x:si>
  <x:si>
    <x:t xml:space="preserve">ASI08, DE.CM, DE.AE, RS.MA</x:t>
  </x:si>
  <x:si>
    <x:t xml:space="preserve">D3.11, D3.12</x:t>
  </x:si>
  <x:si>
    <x:t xml:space="preserve">Only the anomaly-detection / monitoring slice maps (D3.12). Deception tooling itself is out of Playbook scope.</x:t>
  </x:si>
  <x:si>
    <x:t xml:space="preserve">PA 10 · Build an Automated Response Capability</x:t>
  </x:si>
  <x:si>
    <x:t xml:space="preserve">Make detection engineering and IR systemic and, where possible, autonomous — pre-authorised containment and machine-speed playbooks.</x:t>
  </x:si>
  <x:si>
    <x:t xml:space="preserve">ASI08, AML.T0047, DE.CM, DE.AE, RS.MA</x:t>
  </x:si>
  <x:si>
    <x:t xml:space="preserve">D3.16, D3.11, D2.6</x:t>
  </x:si>
  <x:si>
    <x:t xml:space="preserve">S2.1, S2.3, S2.4</x:t>
  </x:si>
  <x:si>
    <x:t xml:space="preserve">Automated containment (S2.1 / S2.4) is only defensible with human-in-the-loop escalation (S2.3) and automation-bias countermeasures (D2.6) live — otherwise it is an uncontrolled action.</x:t>
  </x:si>
  <x:si>
    <x:t xml:space="preserve">PA 11 · Stand Up VulnOps</x:t>
  </x:si>
  <x:si>
    <x:t xml:space="preserve">Build a permanent Vulnerability Operations function — staffed and automated like DevOps — owning continuous zero-day discovery and automated remediation across the estate.</x:t>
  </x:si>
  <x:si>
    <x:t xml:space="preserve">ASI10, ASI06, AML.T0018, ID.RA, ID.AM, DE.CM</x:t>
  </x:si>
  <x:si>
    <x:t xml:space="preserve">M3.6, M3.7, M4.1, M4.2</x:t>
  </x:si>
  <x:si>
    <x:t xml:space="preserve">D3.8, D3.15</x:t>
  </x:si>
  <x:si>
    <x:t xml:space="preserve">AI-slice only (agent testing D3.8, periodic audit D3.15, capacity M4.1 / M4.2). VulnOps as an enterprise function lives in the cyber control set.</x:t>
  </x:si>
  <x:si>
    <x:t xml:space="preserve">Fit — Core = the Playbook is the natural home for this action; Partial = only the AI / agentic slice maps here, the estate-wide capability lives in MAS TRM or the cyber control set.</x:t>
  </x:si>
  <x:si>
    <x:t xml:space="preserve">CSA source refs — framework anchors from the CSA risk-register row(s) mapping to each action: OWASP LLM Top 10 2025 (LLM..), OWASP Agentic Top 10 2026 (ASI..), MITRE ATLAS (AML.T..), NIST CSF 2.0 (GV / ID / PR / DE / RS).</x:t>
  </x:si>
  <x:si>
    <x:t xml:space="preserve">Playbook control IDs — verified against this workbook (MAS M/F, MGF Agentic D, SAFR S). M-series traces to AIRG Consultation Paper P017-2025 (consultation, not issued Guidelines); D = IMDA MGF for Agentic AI (issued); S = SAFR white paper (MAS / BuildFin.ai, 3 Jul 2026). ISO 42001 / NIST AI RMF anchors ride along inside each D-row and S-row.</x:t>
  </x:si>
  <x:si>
    <x:t xml:space="preserve">Source — CSA / SANS / [un]prompted / OWASP GenAI, "The AI Vulnerability Storm: Building a Mythos-ready Security Program", v0.95 DRAFT, 18 Apr 2026 (CC BY-NC 4.0). Priority-action table is draft-stage and assumes an aggressive timetable — treat as candidate actions.</x:t>
  </x:si>
  <x:si>
    <x:t xml:space="preserve">Challenge Protocol — what the model is allowed to say, and what a resolution must contain</x:t>
  </x:si>
  <x:si>
    <x:t xml:space="preserve">The assessor answers 'what does this evidence support'. The challenger answers something different — 'what would defeat this conclusion, and what would settle it'. A model asked for a rating will not produce a challenge. It produces a verdict and then a justification for the verdict, which is why gap lists come back as restatements of the rating.</x:t>
  </x:si>
  <x:si>
    <x:t xml:space="preserve">1. Three roles, kept apart</x:t>
  </x:si>
  <x:si>
    <x:t xml:space="preserve">Assessor</x:t>
  </x:si>
  <x:si>
    <x:t xml:space="preserve">Proposes sufficiency and maturity from evidence. Cannot write to the playbook.</x:t>
  </x:si>
  <x:si>
    <x:t xml:space="preserve">Challenger</x:t>
  </x:si>
  <x:si>
    <x:t xml:space="preserve">Never rates, never scores, never agrees. Produces structured challenges against a reviewer's read or an assessor's proposal, or returns nothing.</x:t>
  </x:si>
  <x:si>
    <x:t xml:space="preserve">Reviewer (named human)</x:t>
  </x:si>
  <x:si>
    <x:t xml:space="preserve">The only role that decides and the only one that writes back. Records a reason that is not the decision word.</x:t>
  </x:si>
  <x:si>
    <x:t xml:space="preserve">Why</x:t>
  </x:si>
  <x:si>
    <x:t xml:space="preserve">A challenger that may also rate converges on its own rating and presents it as challenge. Removing the rating from its output is what forces it to argue.</x:t>
  </x:si>
  <x:si>
    <x:t xml:space="preserve">2. The five reasons challenge fails, and what each needs</x:t>
  </x:si>
  <x:si>
    <x:t xml:space="preserve">Rating-first prompting</x:t>
  </x:si>
  <x:si>
    <x:t xml:space="preserve">Asked for a verdict, the model reasons backwards from it. Fix: the challenge call never requests a rating and the schema has no field for one.</x:t>
  </x:si>
  <x:si>
    <x:t xml:space="preserve">Nothing to attach to</x:t>
  </x:si>
  <x:si>
    <x:t xml:space="preserve">A control expressed as a title or a paragraph gives the model no unit to be specific about. Fix: the 'Requirement elements' column — a challenge must name an element id.</x:t>
  </x:si>
  <x:si>
    <x:t xml:space="preserve">No negative space</x:t>
  </x:si>
  <x:si>
    <x:t xml:space="preserve">The model knows what compliance looks like, not what a near-miss looks like, so it invents gaps from the evidence's own open points. Fix: the 'Near-miss failure modes' column goes into the prompt.</x:t>
  </x:si>
  <x:si>
    <x:t xml:space="preserve">No resolution vocabulary</x:t>
  </x:si>
  <x:si>
    <x:t xml:space="preserve">Nothing in the control says what artefact would close the gap, so the model can only ask for 'more evidence'. Fix: the 'Resolution' column, one entry per failure mode.</x:t>
  </x:si>
  <x:si>
    <x:t xml:space="preserve">Binary verdicts</x:t>
  </x:si>
  <x:si>
    <x:t xml:space="preserve">PASS or FAIL cannot localise a failure. Fix: step ids (D1-Dn, O1-On) in every procedure, and element ids in every requirement.</x:t>
  </x:si>
  <x:si>
    <x:t xml:space="preserve">3. Challenge output contract — one object per challenged element</x:t>
  </x:si>
  <x:si>
    <x:t xml:space="preserve">claim</x:t>
  </x:si>
  <x:si>
    <x:t xml:space="preserve">What the reviewer or assessor concluded, quoted from their read.</x:t>
  </x:si>
  <x:si>
    <x:t xml:space="preserve">element</x:t>
  </x:si>
  <x:si>
    <x:t xml:space="preserve">The element id from the control's 'Requirement elements' column. An id not in the control is dropped.</x:t>
  </x:si>
  <x:si>
    <x:t xml:space="preserve">fact</x:t>
  </x:si>
  <x:si>
    <x:t xml:space="preserve">A verbatim excerpt from the submitted evidence with a locator — file and line, or file and section.</x:t>
  </x:si>
  <x:si>
    <x:t xml:space="preserve">rebuttal_test</x:t>
  </x:si>
  <x:si>
    <x:t xml:space="preserve">A statement of whether the fact actually defeats the claim, or only fails to support it. This field is what separates a challenge from an observation.</x:t>
  </x:si>
  <x:si>
    <x:t xml:space="preserve">failure_mode</x:t>
  </x:si>
  <x:si>
    <x:t xml:space="preserve">The F-id matched from the control's near-miss bank, or 'novel' with a one-line description.</x:t>
  </x:si>
  <x:si>
    <x:t xml:space="preserve">strength</x:t>
  </x:si>
  <x:si>
    <x:t xml:space="preserve">strong / weak / rejected. Strong requires contradiction. Absence of evidence is at most weak.</x:t>
  </x:si>
  <x:si>
    <x:t xml:space="preserve">risk</x:t>
  </x:si>
  <x:si>
    <x:t xml:space="preserve">What stays uncontrolled if the challenge stands — expressed as an exposure, not as a control gap.</x:t>
  </x:si>
  <x:si>
    <x:t xml:space="preserve">resolution</x:t>
  </x:si>
  <x:si>
    <x:t xml:space="preserve">The specific artefact that would settle it: what it is, who produces it, and what it must show.</x:t>
  </x:si>
  <x:si>
    <x:t xml:space="preserve">4. Hard rules for the challenger</x:t>
  </x:si>
  <x:si>
    <x:t xml:space="preserve">No sufficiency rating, no maturity score, no statement of agreement. If there is nothing to challenge, the correct output is an empty list — silence is a valid and expected result.</x:t>
  </x:si>
  <x:si>
    <x:t xml:space="preserve">Every fact is verbatim from the evidence and carries a locator. A challenge with no locator is dropped by the validator, not softened.</x:t>
  </x:si>
  <x:si>
    <x:t xml:space="preserve">A fact that is one of the evidence's own stated open points is weak by definition — the document already concedes it, so raising it is not a challenge.</x:t>
  </x:si>
  <x:si>
    <x:t xml:space="preserve">A resolution that says 'provide further evidence' is invalid. It must name an artefact type, its source, and what the artefact has to show to close the point.</x:t>
  </x:si>
  <x:si>
    <x:t xml:space="preserve">Where the population is below the control's evidence floor, no challenge may assert an operating failure. The only available conclusion is NOT TESTABLE.</x:t>
  </x:si>
  <x:si>
    <x:t xml:space="preserve">The challenger may not cite the Governance Knowledge Brain, a precedent or an interpretation as a requirement. Only the requirement elements are requirements.</x:t>
  </x:si>
  <x:si>
    <x:t xml:space="preserve">5. Deterministic checks after the model — downgrade only, never upgrade</x:t>
  </x:si>
  <x:si>
    <x:t xml:space="preserve">verbatim</x:t>
  </x:si>
  <x:si>
    <x:t xml:space="preserve">The excerpt appears in the evidence text → otherwise drop the challenge.</x:t>
  </x:si>
  <x:si>
    <x:t xml:space="preserve">locator</x:t>
  </x:si>
  <x:si>
    <x:t xml:space="preserve">The locator resolves to the cited excerpt → otherwise drop.</x:t>
  </x:si>
  <x:si>
    <x:t xml:space="preserve">element id</x:t>
  </x:si>
  <x:si>
    <x:t xml:space="preserve">Exists in this control's element list → otherwise drop.</x:t>
  </x:si>
  <x:si>
    <x:t xml:space="preserve">failure mode id</x:t>
  </x:si>
  <x:si>
    <x:t xml:space="preserve">Exists in this control's bank, or is flagged novel → otherwise relabel as novel.</x:t>
  </x:si>
  <x:si>
    <x:t xml:space="preserve">Names an artefact → otherwise downgrade to weak and flag for the reviewer.</x:t>
  </x:si>
  <x:si>
    <x:t xml:space="preserve">strength ceiling</x:t>
  </x:si>
  <x:si>
    <x:t xml:space="preserve">Strong requires the rebuttal_test to assert contradiction. Model confidence never raises strength.</x:t>
  </x:si>
  <x:si>
    <x:t xml:space="preserve">evidence floor</x:t>
  </x:si>
  <x:si>
    <x:t xml:space="preserve">Records examined are counted and reported. Below the floor, an operating claim becomes NOT TESTABLE.</x:t>
  </x:si>
  <x:si>
    <x:t xml:space="preserve">injection</x:t>
  </x:si>
  <x:si>
    <x:t xml:space="preserve">Evidence containing instruction-like text is flagged and the challenge derived from it is held for the reviewer.</x:t>
  </x:si>
  <x:si>
    <x:t xml:space="preserve">6. Worked example — M3.12 change management</x:t>
  </x:si>
  <x:si>
    <x:t xml:space="preserve">Reviewer concluded 'full — change management operates over the AI estate'.</x:t>
  </x:si>
  <x:si>
    <x:t xml:space="preserve">e2 — authorisation recorded before the first production action.</x:t>
  </x:si>
  <x:si>
    <x:t xml:space="preserve">Change record CHG-4471 carries approval at 14 Mar 09:12. The deployment log records release at 13 Mar 22:40. (evidence/change_extract.csv, line 118)</x:t>
  </x:si>
  <x:si>
    <x:t xml:space="preserve">The fact contradicts the claim rather than merely failing to support it — an approval timestamped after the deployment cannot have authorised it.</x:t>
  </x:si>
  <x:si>
    <x:t xml:space="preserve">F1 — approved after the fact.</x:t>
  </x:si>
  <x:si>
    <x:t xml:space="preserve">strong.</x:t>
  </x:si>
  <x:si>
    <x:t xml:space="preserve">A model serving customers was changed in production without prior authorisation, and the register presents it as authorised.</x:t>
  </x:si>
  <x:si>
    <x:t xml:space="preserve">The emergency change record for CHG-4471 with its incident reference, or a retrospective risk acceptance naming the exposure and signed by the change authority. Either one settles the point. Neither is 'more evidence'.</x:t>
  </x:si>
  <x:si>
    <x:t xml:space="preserve">7. Knowing whether the challenger works</x:t>
  </x:si>
  <x:si>
    <x:t xml:space="preserve">Track strong / weak / rejected against what the reviewer did with each challenge. A challenger whose strong challenges are routinely dismissed is over-firing and should be tuned down, not trusted more.</x:t>
  </x:si>
  <x:si>
    <x:t xml:space="preserve">Plant known defects. A challenger that returns an empty list on a control with a seeded contradiction has failed a detection test, and that is the measurement that matters — not how articulate the challenges look.</x:t>
  </x:si>
  <x:si>
    <x:t xml:space="preserve">Silence is the hardest case to score. Record the empty results as results, with the control and the evidence hash, or the miss rate is unknowable.</x:t>
  </x:si>
  <x:si>
    <x:t xml:space="preserve">Append every dossier with the model name, the prompt version, the requirement version and the evidence hash. A challenge that cannot be reproduced cannot be relied on later.</x:t>
  </x:si>
  <x:si>
    <x:t xml:space="preserve">Test Archetypes — the method behind every non-bespoke ToD / ToE</x:t>
  </x:si>
  <x:si>
    <x:t xml:space="preserve">Each control's test procedure is rendered from one of these archetypes, chosen by the control's title and objective. The archetype fixes what the design test inspects, what the operating test samples, and which near-misses go into the challenge bank. This sheet exists so that a templated procedure can be audited as a template rather than mistaken for bespoke authorship.</x:t>
  </x:si>
  <x:si>
    <x:t xml:space="preserve">Archetype</x:t>
  </x:si>
  <x:si>
    <x:t xml:space="preserve">Controls</x:t>
  </x:si>
  <x:si>
    <x:t xml:space="preserve">Test of Design tests</x:t>
  </x:si>
  <x:si>
    <x:t xml:space="preserve">Test of Operating Effectiveness tests</x:t>
  </x:si>
  <x:si>
    <x:t xml:space="preserve">Failure modes</x:t>
  </x:si>
  <x:si>
    <x:t xml:space="preserve">governance_body</x:t>
  </x:si>
  <x:si>
    <x:t xml:space="preserve">Mandate, reserved decision rights, quorum, cadence, currency</x:t>
  </x:si>
  <x:si>
    <x:t xml:space="preserve">Meetings held, material matters decided by the body, actions closed</x:t>
  </x:si>
  <x:si>
    <x:t xml:space="preserve">policy_standard</x:t>
  </x:si>
  <x:si>
    <x:t xml:space="preserve">Scope, ownership, prohibited use, exception route, implementing control</x:t>
  </x:si>
  <x:si>
    <x:t xml:space="preserve">In-scope activity followed the policy, exceptions governed</x:t>
  </x:si>
  <x:si>
    <x:t xml:space="preserve">register_inventory</x:t>
  </x:si>
  <x:si>
    <x:t xml:space="preserve">Field set, unique id, creation trigger, reconciliation route</x:t>
  </x:si>
  <x:si>
    <x:t xml:space="preserve">Completeness reconciled from an independent source, currency, accuracy</x:t>
  </x:si>
  <x:si>
    <x:t xml:space="preserve">assessment_classification</x:t>
  </x:si>
  <x:si>
    <x:t xml:space="preserve">Criteria, thresholds, timing, approver independence, consequences</x:t>
  </x:si>
  <x:si>
    <x:t xml:space="preserve">Reperformance agrees, timing precedes the decision, triggers acted on</x:t>
  </x:si>
  <x:si>
    <x:t xml:space="preserve">validation_evaluation</x:t>
  </x:si>
  <x:si>
    <x:t xml:space="preserve">Method, pre-stated thresholds, independence, failure coverage, disposition</x:t>
  </x:si>
  <x:si>
    <x:t xml:space="preserve">Validation matches the deployed version, results retained, shortfalls dispositioned</x:t>
  </x:si>
  <x:si>
    <x:t xml:space="preserve">monitoring_detection</x:t>
  </x:si>
  <x:si>
    <x:t xml:space="preserve">Metrics, thresholds, alert ownership, detector assurance</x:t>
  </x:si>
  <x:si>
    <x:t xml:space="preserve">Continuous coverage, running config matches design, alerts dispositioned, detector tested</x:t>
  </x:si>
  <x:si>
    <x:t xml:space="preserve">logging_traceability</x:t>
  </x:si>
  <x:si>
    <x:t xml:space="preserve">Captured fields, reconstruction sufficiency, integrity, retention</x:t>
  </x:si>
  <x:si>
    <x:t xml:space="preserve">A real event reconstructed end to end within the stated retrieval time</x:t>
  </x:si>
  <x:si>
    <x:t xml:space="preserve">access_authority</x:t>
  </x:si>
  <x:si>
    <x:t xml:space="preserve">Boundary definition, enforcement point, grant separation, boundary behaviour, recertification</x:t>
  </x:si>
  <x:si>
    <x:t xml:space="preserve">Enforced config matches approved, grants reconciled, overrides approved, revocation takes effect</x:t>
  </x:si>
  <x:si>
    <x:t xml:space="preserve">change_release</x:t>
  </x:si>
  <x:si>
    <x:t xml:space="preserve">Change classes, AI artefact versioning, approval before implementation, rollback, verification</x:t>
  </x:si>
  <x:si>
    <x:t xml:space="preserve">Deployments reconciled to records, approval precedes implementation, post-implementation verification</x:t>
  </x:si>
  <x:si>
    <x:t xml:space="preserve">incident_escalation</x:t>
  </x:si>
  <x:si>
    <x:t xml:space="preserve">AI incident definition, severity, notification, containment authority, review</x:t>
  </x:si>
  <x:si>
    <x:t xml:space="preserve">Detection to containment timings, population cross-checked, lessons changed controls</x:t>
  </x:si>
  <x:si>
    <x:t xml:space="preserve">third_party</x:t>
  </x:si>
  <x:si>
    <x:t xml:space="preserve">Diligence scope, contractual rights, ongoing obligations, sub-processors and embedded AI</x:t>
  </x:si>
  <x:si>
    <x:t xml:space="preserve">Assessment precedes use, clauses present in the executed contract, assurance obtained and dispositioned</x:t>
  </x:si>
  <x:si>
    <x:t xml:space="preserve">human_oversight</x:t>
  </x:si>
  <x:si>
    <x:t xml:space="preserve">Authority of the human, information sufficiency, override usability, capacity</x:t>
  </x:si>
  <x:si>
    <x:t xml:space="preserve">Override rate, per-item timing, reasoned decisions, override changed the outcome</x:t>
  </x:si>
  <x:si>
    <x:t xml:space="preserve">disclosure_transparency</x:t>
  </x:si>
  <x:si>
    <x:t xml:space="preserve">Content, trigger, timing, approval and currency of wording</x:t>
  </x:si>
  <x:si>
    <x:t xml:space="preserve">Delivered disclosure captured per channel, recourse route answered</x:t>
  </x:si>
  <x:si>
    <x:t xml:space="preserve">data_lifecycle</x:t>
  </x:si>
  <x:si>
    <x:t xml:space="preserve">Source scope, permitted-use basis, measurable quality thresholds, deletion in derived stores</x:t>
  </x:si>
  <x:si>
    <x:t xml:space="preserve">Sources reconciled from the pipeline, quality measured, deletion propagates, lineage versioned</x:t>
  </x:si>
  <x:si>
    <x:t xml:space="preserve">security_resilience</x:t>
  </x:si>
  <x:si>
    <x:t xml:space="preserve">Threat scope including AI paths, trust boundary, testing independence, resilience</x:t>
  </x:si>
  <x:si>
    <x:t xml:space="preserve">Testing covers the deployed architecture, findings dispositioned, boundary holds at runtime</x:t>
  </x:si>
  <x:si>
    <x:t xml:space="preserve">training_competency</x:t>
  </x:si>
  <x:si>
    <x:t xml:space="preserve">Audiences by exposure, content mapped to decisions, competence measure</x:t>
  </x:si>
  <x:si>
    <x:t xml:space="preserve">Population from HR data, timing against role start, non-completion consequence applied</x:t>
  </x:si>
  <x:si>
    <x:t xml:space="preserve">generic</x:t>
  </x:si>
  <x:si>
    <x:t xml:space="preserve">Definition, activity, trigger, output, retained evidence, exception route</x:t>
  </x:si>
  <x:si>
    <x:t xml:space="preserve">Independent population, reperformance, timing, exception disposition</x:t>
  </x:si>
  <x:si>
    <x:t xml:space="preserve">Status of archetype-derived content: DRAFT. It is a defensible starting procedure, not approved testing knowledge. Every row carries this in its 'Test provenance' column and must be reviewed by the control owner or the assurance authority before it is used to support a conclusion.</x:t>
  </x:si>
  <x:si>
    <x:t xml:space="preserve">v0.4.1 — what changed from v0.4, and what is still not claimed</x:t>
  </x:si>
  <x:si>
    <x:t xml:space="preserve">Changed</x:t>
  </x:si>
  <x:si>
    <x:t xml:space="preserve">Test of Design / Test of Operating Effectiveness — 165 controls</x:t>
  </x:si>
  <x:si>
    <x:t xml:space="preserve">Rewritten from the archetype engine. The previous text was circular for the four non-MAS libraries: it asked the tester to 'verify the design addresses the stated objective' and then restated the objective, which gives a model nothing to test against. Each procedure now names an artefact, a population and a step-level verdict.</x:t>
  </x:si>
  <x:si>
    <x:t xml:space="preserve">Test of Design / Test of Operating Effectiveness — 30 MAS controls</x:t>
  </x:si>
  <x:si>
    <x:t xml:space="preserve">Text retained — the MAS procedures were already specific and three-way. Step ids (D1-Dn, O1-On) added so a challenge can name the step that failed.</x:t>
  </x:si>
  <x:si>
    <x:t xml:space="preserve">Requirement elements (atomic)</x:t>
  </x:si>
  <x:si>
    <x:t xml:space="preserve">New column on all five libraries. This is the unit a challenge attaches to. For 8 MAS controls the elements are the bespoke ones from the repo overlay. Everywhere else they are archetype-derived drafts.</x:t>
  </x:si>
  <x:si>
    <x:t xml:space="preserve">New column. States what the operating population is, where it must come from, and the record count below which the result is NOT TESTABLE rather than a PASS.</x:t>
  </x:si>
  <x:si>
    <x:t xml:space="preserve">Near-miss failure modes</x:t>
  </x:si>
  <x:si>
    <x:t xml:space="preserve">New column. The negative space — evidence that looks right and is not. Without this in the prompt a model invents gaps from the evidence's own open points.</x:t>
  </x:si>
  <x:si>
    <x:t xml:space="preserve">New column, one entry per failure mode. Turns 'insufficient evidence' into a named artefact someone can go and obtain.</x:t>
  </x:si>
  <x:si>
    <x:t xml:space="preserve">Sufficiency boundary</x:t>
  </x:si>
  <x:si>
    <x:t xml:space="preserve">New column. The none / partial / full line, written before assessment rather than inferred from a rating afterwards.</x:t>
  </x:si>
  <x:si>
    <x:t xml:space="preserve">ToD and ToE conclusion columns</x:t>
  </x:si>
  <x:si>
    <x:t xml:space="preserve">New. The Maturity Dashboard assurance roll-up (rows 30-34) was counting the words 'Adequate' and 'Effective' in the columns that hold the procedure text, so it could only ever report zero. The formulas now read these dedicated conclusion columns.</x:t>
  </x:si>
  <x:si>
    <x:t xml:space="preserve">Restored on Status and Maturity, which the How to Use tab describes but which were absent from the v0.4 file, and added on the two new conclusion columns.</x:t>
  </x:si>
  <x:si>
    <x:t xml:space="preserve">Challenge Protocol tab</x:t>
  </x:si>
  <x:si>
    <x:t xml:space="preserve">New. The output contract, the hard rules, the deterministic post-checks and a worked example.</x:t>
  </x:si>
  <x:si>
    <x:t xml:space="preserve">Test Archetypes tab</x:t>
  </x:si>
  <x:si>
    <x:t xml:space="preserve">New. Makes the templated procedures auditable as templates.</x:t>
  </x:si>
  <x:si>
    <x:t xml:space="preserve">Not claimed</x:t>
  </x:si>
  <x:si>
    <x:t xml:space="preserve">Requirement text: only 8 of 30 MAS controls carry authored requirement elements (8 rows marked bespoke). The other 22, and all 165 non-MAS controls, carry archetype-derived drafts. A draft element is a testable hypothesis about what the requirement means, not the requirement.</x:t>
  </x:si>
  <x:si>
    <x:t xml:space="preserve">Archetype-derived procedures are DRAFT and unapproved. The 'Test provenance' column on every row says which it is. Nothing here is authoritative testing knowledge until a control owner or the assurance authority approves it.</x:t>
  </x:si>
  <x:si>
    <x:t xml:space="preserve">The near-miss banks are drawn from common audit experience, not from this institution's incident history. They will improve most by being replaced, control by control, with defects that were actually found here.</x:t>
  </x:si>
  <x:si>
    <x:t xml:space="preserve">The archetype for each control was assigned by keyword match on the control title and objective. It is right often enough to be useful and wrong often enough to be checked. Reassignment is a one-cell edit to 'Test provenance' plus replacing the four generated columns.</x:t>
  </x:si>
  <x:si>
    <x:t xml:space="preserve">No claim is made that an LLM challenger performs well against these controls. The protocol tab describes how to find out — plant defects, score the silences, and treat a dismissed strong challenge as over-firing.</x:t>
  </x:si>
</x:sst>
</file>

<file path=xl/styles.xml><?xml version="1.0" encoding="utf-8"?>
<x:styleSheet xmlns:x="http://schemas.openxmlformats.org/spreadsheetml/2006/main">
  <x:numFmts count="7">
    <x:numFmt numFmtId="164" formatCode="General"/>
    <x:numFmt numFmtId="165" formatCode="_(* #,##0.00_);_(* \(#,##0.00\);_(* \-??_);_(@_)"/>
    <x:numFmt numFmtId="166" formatCode="_(* #,##0_);_(* \(#,##0\);_(* \-_);_(@_)"/>
    <x:numFmt numFmtId="167" formatCode="_(\$* #,##0.00_);_(\$* \(#,##0.00\);_(\$* \-??_);_(@_)"/>
    <x:numFmt numFmtId="168" formatCode="_(\$* #,##0_);_(\$* \(#,##0\);_(\$* \-_);_(@_)"/>
    <x:numFmt numFmtId="169" formatCode="0%"/>
    <x:numFmt numFmtId="170" formatCode="General"/>
  </x:numFmts>
  <x:fonts count="40">
    <x:font>
      <x:sz val="10"/>
      <x:name val="Arial"/>
    </x:font>
    <x:font>
      <x:sz val="10"/>
      <x:name val="Arial"/>
    </x:font>
    <x:font>
      <x:sz val="10"/>
      <x:name val="Arial"/>
    </x:font>
    <x:font>
      <x:sz val="10"/>
      <x:name val="Arial"/>
    </x:font>
    <x:font>
      <x:sz val="10"/>
      <x:name val="Arial"/>
    </x:font>
    <x:font>
      <x:sz val="11"/>
      <x:color theme="1"/>
      <x:name val="Calibri"/>
    </x:font>
    <x:font>
      <x:b/>
      <x:sz val="18"/>
      <x:color rgb="FF1F3A5F"/>
      <x:name val="Arial"/>
    </x:font>
    <x:font>
      <x:sz val="11"/>
      <x:color rgb="FF595959"/>
      <x:name val="Arial"/>
    </x:font>
    <x:font>
      <x:b/>
      <x:sz val="10"/>
      <x:color rgb="FF333333"/>
      <x:name val="Arial"/>
    </x:font>
    <x:font>
      <x:b/>
      <x:sz val="12"/>
      <x:color rgb="FF1F3A5F"/>
      <x:name val="Arial"/>
    </x:font>
    <x:font>
      <x:b/>
      <x:sz val="12"/>
      <x:color rgb="FF1E2761"/>
      <x:name val="Arial"/>
    </x:font>
    <x:font>
      <x:sz val="10"/>
      <x:color rgb="FF1E293B"/>
      <x:name val="Arial"/>
    </x:font>
    <x:font>
      <x:b/>
      <x:sz val="10"/>
      <x:color rgb="FF1F3A5F"/>
      <x:name val="Arial"/>
    </x:font>
    <x:font>
      <x:b/>
      <x:sz val="10"/>
      <x:color rgb="FF000000"/>
      <x:name val="Arial"/>
    </x:font>
    <x:font>
      <x:b/>
      <x:sz val="13"/>
      <x:color rgb="FF1F3A5F"/>
      <x:name val="Arial"/>
    </x:font>
    <x:font>
      <x:b/>
      <x:sz val="10"/>
      <x:color rgb="FFFFFFFF"/>
      <x:name val="Arial"/>
    </x:font>
    <x:font>
      <x:b/>
      <x:sz val="10"/>
      <x:name val="Arial"/>
    </x:font>
    <x:font>
      <x:i/>
      <x:sz val="9"/>
      <x:color rgb="FF595959"/>
      <x:name val="Arial"/>
    </x:font>
    <x:font>
      <x:i/>
      <x:sz val="10"/>
      <x:name val="Arial"/>
    </x:font>
    <x:font>
      <x:b/>
      <x:sz val="11"/>
      <x:color rgb="FF1E2761"/>
      <x:name val="Calibri"/>
    </x:font>
    <x:font>
      <x:i/>
      <x:sz val="10"/>
      <x:color theme="1"/>
      <x:name val="Calibri"/>
    </x:font>
    <x:font>
      <x:b/>
      <x:sz val="15"/>
      <x:color rgb="FF1F3A5F"/>
      <x:name val="Arial"/>
    </x:font>
    <x:font>
      <x:i/>
      <x:sz val="10"/>
      <x:color rgb="FF595959"/>
      <x:name val="Arial"/>
    </x:font>
    <x:font>
      <x:b/>
      <x:sz val="11"/>
      <x:color rgb="FF1F3A5F"/>
      <x:name val="Arial"/>
    </x:font>
    <x:font>
      <x:b/>
      <x:sz val="11"/>
      <x:color rgb="FFFFFFFF"/>
      <x:name val="Calibri"/>
    </x:font>
    <x:font>
      <x:i/>
      <x:sz val="10"/>
      <x:color rgb="FF64748B"/>
      <x:name val="Calibri"/>
    </x:font>
    <x:font>
      <x:b/>
      <x:sz val="10"/>
      <x:color rgb="FFFFFFFF"/>
      <x:name val="Calibri"/>
    </x:font>
    <x:font>
      <x:b/>
      <x:sz val="10"/>
      <x:color rgb="FF1E293B"/>
      <x:name val="Calibri"/>
    </x:font>
    <x:font>
      <x:sz val="10"/>
      <x:color rgb="FF1E293B"/>
      <x:name val="Calibri"/>
    </x:font>
    <x:font>
      <x:i/>
      <x:sz val="9"/>
      <x:color rgb="FF64748B"/>
      <x:name val="Calibri"/>
    </x:font>
    <x:font>
      <x:i/>
      <x:sz val="9"/>
      <x:color rgb="FF1F3A5F"/>
      <x:name val="Arial"/>
    </x:font>
    <x:font>
      <x:b/>
      <x:sz val="13"/>
      <x:color rgb="FF1E2761"/>
      <x:name val="Arial"/>
    </x:font>
    <x:font>
      <x:b/>
      <x:sz val="9"/>
      <x:color rgb="FF1E293B"/>
      <x:name val="Arial"/>
    </x:font>
    <x:font>
      <x:b/>
      <x:sz val="9"/>
      <x:color rgb="FF1E2761"/>
      <x:name val="Arial"/>
    </x:font>
    <x:font>
      <x:sz val="9"/>
      <x:color rgb="FF1E293B"/>
      <x:name val="Arial"/>
    </x:font>
    <x:font>
      <x:i/>
      <x:sz val="8"/>
      <x:color rgb="FF64748B"/>
      <x:name val="Arial"/>
    </x:font>
    <x:font>
      <x:i/>
      <x:sz val="9"/>
      <x:color rgb="FF5A6B7B"/>
      <x:name val="Arial"/>
    </x:font>
    <x:font>
      <x:i/>
      <x:sz val="8"/>
      <x:color rgb="FF5A6B7B"/>
      <x:name val="Arial"/>
    </x:font>
    <x:font>
      <x:b/>
      <x:sz val="10"/>
      <x:color rgb="FF8C3A2E"/>
      <x:name val="Arial"/>
    </x:font>
    <x:font>
      <x:b/>
      <x:sz val="14"/>
      <x:color rgb="FFFFFFFF"/>
      <x:name val="Arial"/>
    </x:font>
  </x:fonts>
  <x:fills count="29">
    <x:fill>
      <x:patternFill patternType="none"/>
    </x:fill>
    <x:fill>
      <x:patternFill patternType="gray125"/>
    </x:fill>
    <x:fill>
      <x:patternFill patternType="solid">
        <x:fgColor rgb="FF50603A"/>
      </x:patternFill>
    </x:fill>
    <x:fill>
      <x:patternFill patternType="solid">
        <x:fgColor rgb="FFFFFFFF"/>
      </x:patternFill>
    </x:fill>
    <x:fill>
      <x:patternFill patternType="solid">
        <x:fgColor rgb="FFEEF1E8"/>
      </x:patternFill>
    </x:fill>
    <x:fill>
      <x:patternFill patternType="solid">
        <x:fgColor rgb="FF8A5A2B"/>
      </x:patternFill>
    </x:fill>
    <x:fill>
      <x:patternFill patternType="solid">
        <x:fgColor rgb="FFF3E9DC"/>
      </x:patternFill>
    </x:fill>
    <x:fill>
      <x:patternFill patternType="solid">
        <x:fgColor rgb="FFFBF6EF"/>
      </x:patternFill>
    </x:fill>
    <x:fill>
      <x:patternFill patternType="solid">
        <x:fgColor rgb="FFE3F1EC"/>
      </x:patternFill>
    </x:fill>
    <x:fill>
      <x:patternFill patternType="solid">
        <x:fgColor rgb="FFFFF3C4"/>
      </x:patternFill>
    </x:fill>
    <x:fill>
      <x:patternFill patternType="solid">
        <x:fgColor rgb="FF2E5E8C"/>
      </x:patternFill>
    </x:fill>
    <x:fill>
      <x:patternFill patternType="solid">
        <x:fgColor rgb="FFF4F7FA"/>
      </x:patternFill>
    </x:fill>
    <x:fill>
      <x:patternFill patternType="solid">
        <x:fgColor rgb="FF4A6B3D"/>
      </x:patternFill>
    </x:fill>
    <x:fill>
      <x:patternFill patternType="solid">
        <x:fgColor rgb="FF8C3A2E"/>
      </x:patternFill>
    </x:fill>
    <x:fill>
      <x:patternFill patternType="solid">
        <x:fgColor rgb="FFB5651D"/>
      </x:patternFill>
    </x:fill>
    <x:fill>
      <x:patternFill patternType="solid">
        <x:fgColor rgb="FFFBF1E6"/>
      </x:patternFill>
    </x:fill>
    <x:fill>
      <x:patternFill patternType="solid">
        <x:fgColor rgb="FF2E4A5E"/>
      </x:patternFill>
    </x:fill>
    <x:fill>
      <x:patternFill patternType="solid">
        <x:fgColor rgb="FFEAF0F4"/>
      </x:patternFill>
    </x:fill>
    <x:fill>
      <x:patternFill patternType="solid">
        <x:fgColor rgb="FFDCE6F1"/>
      </x:patternFill>
    </x:fill>
    <x:fill>
      <x:patternFill patternType="solid">
        <x:fgColor rgb="FF1E2761"/>
      </x:patternFill>
    </x:fill>
    <x:fill>
      <x:patternFill patternType="solid">
        <x:fgColor rgb="FF5B6678"/>
      </x:patternFill>
    </x:fill>
    <x:fill>
      <x:patternFill patternType="solid">
        <x:fgColor rgb="FFD6E4F7"/>
      </x:patternFill>
    </x:fill>
    <x:fill>
      <x:patternFill patternType="solid">
        <x:fgColor rgb="FFE3F0D9"/>
      </x:patternFill>
    </x:fill>
    <x:fill>
      <x:patternFill patternType="solid">
        <x:fgColor rgb="FFFCE8D5"/>
      </x:patternFill>
    </x:fill>
    <x:fill>
      <x:patternFill patternType="solid">
        <x:fgColor rgb="FFEAE0F2"/>
      </x:patternFill>
    </x:fill>
    <x:fill>
      <x:patternFill patternType="solid">
        <x:fgColor rgb="FF1E5F74"/>
      </x:patternFill>
    </x:fill>
    <x:fill>
      <x:patternFill patternType="solid">
        <x:fgColor rgb="FF1F4E78"/>
      </x:patternFill>
    </x:fill>
    <x:fill>
      <x:patternFill patternType="solid">
        <x:fgColor rgb="FFD9EAF7"/>
      </x:patternFill>
    </x:fill>
    <x:fill>
      <x:patternFill patternType="solid">
        <x:fgColor rgb="FFEEF5FB"/>
      </x:patternFill>
    </x:fill>
  </x:fills>
  <x:borders count="12">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left style="thin">
        <x:color rgb="FFC7CEDB"/>
      </x:left>
      <x:top style="thin">
        <x:color rgb="FFC7CEDB"/>
      </x:top>
      <x:bottom style="thin">
        <x:color rgb="FFC7CEDB"/>
      </x:bottom>
    </x:border>
    <x:border diagonalUp="0" diagonalDown="0">
      <x:right style="thin">
        <x:color rgb="FFC7CEDB"/>
      </x:right>
      <x:top style="thin">
        <x:color rgb="FFC7CEDB"/>
      </x:top>
      <x:bottom style="thin">
        <x:color rgb="FFC7CEDB"/>
      </x:bottom>
    </x:border>
    <x:border diagonalUp="0" diagonalDown="0">
      <x:left style="thin">
        <x:color rgb="FFC7CEDB"/>
      </x:left>
      <x:right style="thin">
        <x:color rgb="FFC7CEDB"/>
      </x:right>
      <x:top style="thin">
        <x:color rgb="FFC7CEDB"/>
      </x:top>
      <x:bottom style="thin">
        <x:color rgb="FFC7CEDB"/>
      </x:bottom>
    </x:border>
    <x:border diagonalUp="0" diagonalDown="0">
      <x:left style="thin">
        <x:color rgb="FFC9D6E8"/>
      </x:left>
      <x:right style="thin">
        <x:color rgb="FFC9D6E8"/>
      </x:right>
      <x:top style="thin">
        <x:color rgb="FFC9D6E8"/>
      </x:top>
      <x:bottom style="thin">
        <x:color rgb="FFC9D6E8"/>
      </x:bottom>
    </x:border>
    <x:border diagonalUp="0" diagonalDown="0"/>
    <x:border diagonalUp="0" diagonalDown="0">
      <x:left style="thin">
        <x:color rgb="FFBFBFBF"/>
      </x:left>
      <x:right style="thin">
        <x:color rgb="FFBFBFBF"/>
      </x:right>
      <x:top style="thin">
        <x:color rgb="FFBFBFBF"/>
      </x:top>
      <x:bottom style="thin">
        <x:color rgb="FFBFBFBF"/>
      </x:bottom>
    </x:border>
    <x:border diagonalUp="0" diagonalDown="0">
      <x:left style="thin">
        <x:color rgb="FFC7CEDB"/>
      </x:left>
      <x:top style="thin">
        <x:color rgb="FFC7CEDB"/>
      </x:top>
      <x:bottom style="thin">
        <x:color rgb="FFC7CEDB"/>
      </x:bottom>
    </x:border>
    <x:border diagonalUp="0" diagonalDown="0">
      <x:right style="thin">
        <x:color rgb="FFC7CEDB"/>
      </x:right>
      <x:top style="thin">
        <x:color rgb="FFC7CEDB"/>
      </x:top>
      <x:bottom style="thin">
        <x:color rgb="FFC7CEDB"/>
      </x:bottom>
    </x:border>
    <x:border diagonalUp="0" diagonalDown="0">
      <x:left style="thin">
        <x:color rgb="FFC7CEDB"/>
      </x:left>
      <x:right style="thin">
        <x:color rgb="FFC7CEDB"/>
      </x:right>
      <x:top style="thin">
        <x:color rgb="FFC7CEDB"/>
      </x:top>
      <x:bottom style="thin">
        <x:color rgb="FFC7CEDB"/>
      </x:bottom>
    </x:border>
    <x:border diagonalUp="0" diagonalDown="0">
      <x:left style="thin">
        <x:color rgb="FFC9D6E8"/>
      </x:left>
      <x:right style="thin">
        <x:color rgb="FFC9D6E8"/>
      </x:right>
      <x:top style="thin">
        <x:color rgb="FFC9D6E8"/>
      </x:top>
      <x:bottom style="thin">
        <x:color rgb="FFC9D6E8"/>
      </x:bottom>
    </x:border>
  </x:borders>
  <x:cellStyleXfs count="26">
    <x:xf numFmtId="164" fontId="0" fillId="0" borderId="0" applyFont="1" applyBorder="1" applyAlignment="1" applyProtection="1">
      <x:alignment horizontal="general" vertical="bottom" wrapText="0" shrinkToFit="0"/>
      <x:protection locked="1" hidden="0"/>
    </x:xf>
    <x:xf numFmtId="0" fontId="1" fillId="0" borderId="0" applyFont="1" applyBorder="0" applyAlignment="0" applyProtection="0"/>
    <x:xf numFmtId="0" fontId="1" fillId="0" borderId="0" applyFont="1" applyBorder="0" applyAlignment="0" applyProtection="0"/>
    <x:xf numFmtId="0" fontId="2" fillId="0" borderId="0" applyFont="1" applyBorder="0" applyAlignment="0" applyProtection="0"/>
    <x:xf numFmtId="0" fontId="2"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0" fontId="0" fillId="0" borderId="0" applyFont="1" applyBorder="0" applyAlignment="0" applyProtection="0"/>
    <x:xf numFmtId="43" fontId="1" fillId="0" borderId="0" applyFont="1" applyBorder="0" applyAlignment="0" applyProtection="0"/>
    <x:xf numFmtId="41" fontId="1" fillId="0" borderId="0" applyFont="1" applyBorder="0" applyAlignment="0" applyProtection="0"/>
    <x:xf numFmtId="44" fontId="1" fillId="0" borderId="0" applyFont="1" applyBorder="0" applyAlignment="0" applyProtection="0"/>
    <x:xf numFmtId="42" fontId="1" fillId="0" borderId="0" applyFont="1" applyBorder="0" applyAlignment="0" applyProtection="0"/>
    <x:xf numFmtId="9" fontId="1" fillId="0" borderId="0" applyFont="1" applyBorder="0" applyAlignment="0" applyProtection="0"/>
    <x:xf numFmtId="165" fontId="4" fillId="0" borderId="0" applyFont="1" applyBorder="1" applyAlignment="1" applyProtection="1">
      <x:alignment horizontal="general" vertical="bottom" wrapText="0" shrinkToFit="0"/>
      <x:protection locked="1" hidden="0"/>
    </x:xf>
    <x:xf numFmtId="166" fontId="4" fillId="0" borderId="0" applyFont="1" applyBorder="1" applyAlignment="1" applyProtection="1">
      <x:alignment horizontal="general" vertical="bottom" wrapText="0" shrinkToFit="0"/>
      <x:protection locked="1" hidden="0"/>
    </x:xf>
    <x:xf numFmtId="167" fontId="4" fillId="0" borderId="0" applyFont="1" applyBorder="1" applyAlignment="1" applyProtection="1">
      <x:alignment horizontal="general" vertical="bottom" wrapText="0" shrinkToFit="0"/>
      <x:protection locked="1" hidden="0"/>
    </x:xf>
    <x:xf numFmtId="168" fontId="4" fillId="0" borderId="0" applyFont="1" applyBorder="1" applyAlignment="1" applyProtection="1">
      <x:alignment horizontal="general" vertical="bottom" wrapText="0" shrinkToFit="0"/>
      <x:protection locked="1" hidden="0"/>
    </x:xf>
    <x:xf numFmtId="164" fontId="5" fillId="0" borderId="0" applyFont="1" applyBorder="1" applyAlignment="1" applyProtection="1">
      <x:alignment horizontal="general" vertical="bottom" wrapText="0" shrinkToFit="0"/>
      <x:protection locked="1" hidden="0"/>
    </x:xf>
    <x:xf numFmtId="169" fontId="4" fillId="0" borderId="0" applyFont="1" applyBorder="1" applyAlignment="1" applyProtection="1">
      <x:alignment horizontal="general" vertical="bottom" wrapText="0" shrinkToFit="0"/>
      <x:protection locked="1" hidden="0"/>
    </x:xf>
  </x:cellStyleXfs>
  <x:cellXfs count="212">
    <x:xf numFmtId="164" fontId="0" fillId="0" borderId="0" xfId="0" applyFont="0" applyBorder="0" applyAlignment="0">
      <x:alignment horizontal="general" vertical="bottom" wrapText="0"/>
    </x:xf>
    <x:xf numFmtId="164" fontId="5" fillId="0" borderId="0" xfId="24" applyFont="0" applyBorder="0" applyAlignment="0">
      <x:alignment horizontal="general" vertical="bottom" wrapText="0"/>
    </x:xf>
    <x:xf numFmtId="164" fontId="6" fillId="0" borderId="0" xfId="24" applyFont="1" applyBorder="0" applyAlignment="0">
      <x:alignment horizontal="general" vertical="bottom" wrapText="0"/>
    </x:xf>
    <x:xf numFmtId="164" fontId="7" fillId="0" borderId="0" xfId="24" applyFont="1" applyBorder="0" applyAlignment="0">
      <x:alignment horizontal="general" vertical="bottom" wrapText="0"/>
    </x:xf>
    <x:xf numFmtId="164" fontId="8" fillId="0" borderId="0" xfId="24" applyFont="1" applyBorder="0" applyAlignment="1">
      <x:alignment horizontal="general" vertical="top" wrapText="1"/>
    </x:xf>
    <x:xf numFmtId="164" fontId="4" fillId="0" borderId="0" xfId="24" applyFont="1" applyBorder="0" applyAlignment="1">
      <x:alignment horizontal="general" vertical="top" wrapText="1"/>
    </x:xf>
    <x:xf numFmtId="164" fontId="9" fillId="0" borderId="0" xfId="24" applyFont="1" applyBorder="0" applyAlignment="0">
      <x:alignment horizontal="general" vertical="bottom" wrapText="0"/>
    </x:xf>
    <x:xf numFmtId="164" fontId="10" fillId="0" borderId="0" xfId="24" applyFont="1" applyBorder="0" applyAlignment="0">
      <x:alignment horizontal="general" vertical="bottom" wrapText="0"/>
    </x:xf>
    <x:xf numFmtId="164" fontId="4" fillId="0" borderId="0" xfId="24" applyFont="1" applyBorder="1" applyAlignment="1">
      <x:alignment horizontal="general" vertical="top" wrapText="1"/>
    </x:xf>
    <x:xf numFmtId="164" fontId="5" fillId="0" borderId="0" xfId="24" applyFont="0" applyBorder="1" applyAlignment="0">
      <x:alignment horizontal="general" vertical="bottom" wrapText="0"/>
    </x:xf>
    <x:xf numFmtId="164" fontId="11" fillId="0" borderId="0" xfId="24" applyFont="1" applyBorder="0" applyAlignment="1">
      <x:alignment horizontal="general" vertical="center" wrapText="1"/>
    </x:xf>
    <x:xf numFmtId="164" fontId="12" fillId="0" borderId="0" xfId="24" applyFont="1" applyBorder="0" applyAlignment="1">
      <x:alignment horizontal="general" vertical="top" wrapText="1"/>
    </x:xf>
    <x:xf numFmtId="164" fontId="13" fillId="0" borderId="0" xfId="24" applyFont="1" applyBorder="0" applyAlignment="1">
      <x:alignment horizontal="general" vertical="top" wrapText="1"/>
    </x:xf>
    <x:xf numFmtId="164" fontId="14" fillId="0" borderId="0" xfId="24" applyFont="1" applyBorder="1" applyAlignment="0">
      <x:alignment horizontal="general" vertical="bottom" wrapText="0"/>
    </x:xf>
    <x:xf numFmtId="164" fontId="15" fillId="2" borderId="1" xfId="24" applyFont="1" applyBorder="1" applyAlignment="1">
      <x:alignment horizontal="left" vertical="center" wrapText="1"/>
    </x:xf>
    <x:xf numFmtId="164" fontId="16" fillId="3" borderId="1" xfId="24" applyFont="1" applyBorder="1" applyAlignment="1">
      <x:alignment horizontal="left" vertical="top" wrapText="1"/>
    </x:xf>
    <x:xf numFmtId="164" fontId="4" fillId="3" borderId="1" xfId="24" applyFont="1" applyBorder="1" applyAlignment="1">
      <x:alignment horizontal="left" vertical="top" wrapText="1"/>
    </x:xf>
    <x:xf numFmtId="164" fontId="16" fillId="4" borderId="1" xfId="24" applyFont="1" applyBorder="1" applyAlignment="1">
      <x:alignment horizontal="left" vertical="top" wrapText="1"/>
    </x:xf>
    <x:xf numFmtId="164" fontId="4" fillId="4" borderId="1" xfId="24" applyFont="1" applyBorder="1" applyAlignment="1">
      <x:alignment horizontal="left" vertical="top" wrapText="1"/>
    </x:xf>
    <x:xf numFmtId="164" fontId="17" fillId="0" borderId="0" xfId="24" applyFont="1" applyBorder="1" applyAlignment="1">
      <x:alignment horizontal="general" vertical="top" wrapText="1"/>
    </x:xf>
    <x:xf numFmtId="164" fontId="15" fillId="5" borderId="1" xfId="24" applyFont="1" applyBorder="1" applyAlignment="1">
      <x:alignment horizontal="left" vertical="center" wrapText="1"/>
    </x:xf>
    <x:xf numFmtId="164" fontId="16" fillId="6" borderId="1" xfId="24" applyFont="1" applyBorder="1" applyAlignment="1">
      <x:alignment horizontal="left" vertical="top" wrapText="1"/>
    </x:xf>
    <x:xf numFmtId="164" fontId="18" fillId="6" borderId="1" xfId="24" applyFont="1" applyBorder="1" applyAlignment="1">
      <x:alignment horizontal="left" vertical="top" wrapText="1"/>
    </x:xf>
    <x:xf numFmtId="164" fontId="16" fillId="7" borderId="1" xfId="24" applyFont="1" applyBorder="1" applyAlignment="1">
      <x:alignment horizontal="left" vertical="top" wrapText="1"/>
    </x:xf>
    <x:xf numFmtId="164" fontId="4" fillId="7" borderId="1" xfId="24" applyFont="1" applyBorder="1" applyAlignment="1">
      <x:alignment horizontal="left" vertical="top" wrapText="1"/>
    </x:xf>
    <x:xf numFmtId="164" fontId="16" fillId="8" borderId="1" xfId="24" applyFont="1" applyBorder="1" applyAlignment="1">
      <x:alignment horizontal="left" vertical="top" wrapText="1"/>
    </x:xf>
    <x:xf numFmtId="164" fontId="4" fillId="8" borderId="1" xfId="24" applyFont="1" applyBorder="1" applyAlignment="1">
      <x:alignment horizontal="left" vertical="top" wrapText="1"/>
    </x:xf>
    <x:xf numFmtId="164" fontId="19" fillId="9" borderId="1" xfId="24" applyFont="1" applyBorder="1" applyAlignment="1">
      <x:alignment horizontal="left" vertical="top" wrapText="1"/>
    </x:xf>
    <x:xf numFmtId="164" fontId="4" fillId="9" borderId="1" xfId="24" applyFont="1" applyBorder="1" applyAlignment="1">
      <x:alignment horizontal="left" vertical="top" wrapText="1"/>
    </x:xf>
    <x:xf numFmtId="164" fontId="18" fillId="6" borderId="1" xfId="24" applyFont="1" applyBorder="1" applyAlignment="1">
      <x:alignment horizontal="general" vertical="top" wrapText="1"/>
    </x:xf>
    <x:xf numFmtId="164" fontId="4" fillId="0" borderId="0" xfId="24" applyFont="1" applyBorder="0" applyAlignment="0">
      <x:alignment horizontal="general" vertical="bottom" wrapText="0"/>
    </x:xf>
    <x:xf numFmtId="164" fontId="15" fillId="10" borderId="1" xfId="24" applyFont="1" applyBorder="1" applyAlignment="1">
      <x:alignment horizontal="left" vertical="center" wrapText="1"/>
    </x:xf>
    <x:xf numFmtId="164" fontId="15" fillId="10" borderId="0" xfId="24" applyFont="1" applyBorder="0" applyAlignment="1">
      <x:alignment horizontal="center" vertical="center" wrapText="1"/>
    </x:xf>
    <x:xf numFmtId="164" fontId="4" fillId="3" borderId="1" xfId="24" applyFont="1" applyBorder="1" applyAlignment="1">
      <x:alignment horizontal="center" vertical="top" wrapText="1"/>
    </x:xf>
    <x:xf numFmtId="164" fontId="4" fillId="3" borderId="1" xfId="24" applyFont="1" applyBorder="1" applyAlignment="1">
      <x:alignment horizontal="general" vertical="top" wrapText="1"/>
    </x:xf>
    <x:xf numFmtId="164" fontId="4" fillId="11" borderId="1" xfId="24" applyFont="1" applyBorder="1" applyAlignment="1">
      <x:alignment horizontal="left" vertical="top" wrapText="1"/>
    </x:xf>
    <x:xf numFmtId="164" fontId="16" fillId="11" borderId="1" xfId="24" applyFont="1" applyBorder="1" applyAlignment="1">
      <x:alignment horizontal="left" vertical="top" wrapText="1"/>
    </x:xf>
    <x:xf numFmtId="164" fontId="4" fillId="11" borderId="1" xfId="24" applyFont="1" applyBorder="1" applyAlignment="1">
      <x:alignment horizontal="center" vertical="top" wrapText="1"/>
    </x:xf>
    <x:xf numFmtId="164" fontId="15" fillId="12" borderId="1" xfId="24" applyFont="1" applyBorder="1" applyAlignment="1">
      <x:alignment horizontal="left" vertical="center" wrapText="1"/>
    </x:xf>
    <x:xf numFmtId="164" fontId="20" fillId="0" borderId="0" xfId="24" applyFont="1" applyBorder="1" applyAlignment="1">
      <x:alignment horizontal="general" vertical="bottom" wrapText="1"/>
    </x:xf>
    <x:xf numFmtId="164" fontId="15" fillId="13" borderId="1" xfId="24" applyFont="1" applyBorder="1" applyAlignment="1">
      <x:alignment horizontal="left" vertical="center" wrapText="1"/>
    </x:xf>
    <x:xf numFmtId="164" fontId="15" fillId="14" borderId="1" xfId="24" applyFont="1" applyBorder="1" applyAlignment="1">
      <x:alignment horizontal="left" vertical="center" wrapText="1"/>
    </x:xf>
    <x:xf numFmtId="164" fontId="16" fillId="3" borderId="1" xfId="24" applyFont="1" applyBorder="1" applyAlignment="1">
      <x:alignment horizontal="center" vertical="top" wrapText="1"/>
    </x:xf>
    <x:xf numFmtId="164" fontId="16" fillId="15" borderId="1" xfId="24" applyFont="1" applyBorder="1" applyAlignment="1">
      <x:alignment horizontal="center" vertical="top" wrapText="1"/>
    </x:xf>
    <x:xf numFmtId="164" fontId="16" fillId="15" borderId="1" xfId="24" applyFont="1" applyBorder="1" applyAlignment="1">
      <x:alignment horizontal="left" vertical="top" wrapText="1"/>
    </x:xf>
    <x:xf numFmtId="164" fontId="4" fillId="15" borderId="1" xfId="24" applyFont="1" applyBorder="1" applyAlignment="1">
      <x:alignment horizontal="center" vertical="top" wrapText="1"/>
    </x:xf>
    <x:xf numFmtId="164" fontId="4" fillId="15" borderId="1" xfId="24" applyFont="1" applyBorder="1" applyAlignment="1">
      <x:alignment horizontal="left" vertical="top" wrapText="1"/>
    </x:xf>
    <x:xf numFmtId="164" fontId="21" fillId="0" borderId="0" xfId="24" applyFont="1" applyBorder="0" applyAlignment="0">
      <x:alignment horizontal="general" vertical="bottom" wrapText="0"/>
    </x:xf>
    <x:xf numFmtId="164" fontId="22" fillId="0" borderId="0" xfId="24" applyFont="1" applyBorder="1" applyAlignment="0">
      <x:alignment horizontal="general" vertical="bottom" wrapText="0"/>
    </x:xf>
    <x:xf numFmtId="164" fontId="15" fillId="16" borderId="1" xfId="24" applyFont="1" applyBorder="1" applyAlignment="1">
      <x:alignment horizontal="left" vertical="center" wrapText="1"/>
    </x:xf>
    <x:xf numFmtId="169" fontId="4" fillId="3" borderId="1" xfId="24" applyFont="1" applyBorder="1" applyAlignment="1">
      <x:alignment horizontal="center" vertical="top" wrapText="1"/>
    </x:xf>
    <x:xf numFmtId="164" fontId="16" fillId="17" borderId="1" xfId="24" applyFont="1" applyBorder="1" applyAlignment="1">
      <x:alignment horizontal="left" vertical="top" wrapText="1"/>
    </x:xf>
    <x:xf numFmtId="164" fontId="4" fillId="17" borderId="1" xfId="24" applyFont="1" applyBorder="1" applyAlignment="1">
      <x:alignment horizontal="center" vertical="top" wrapText="1"/>
    </x:xf>
    <x:xf numFmtId="169" fontId="4" fillId="17" borderId="1" xfId="24" applyFont="1" applyBorder="1" applyAlignment="1">
      <x:alignment horizontal="center" vertical="top" wrapText="1"/>
    </x:xf>
    <x:xf numFmtId="164" fontId="16" fillId="18" borderId="1" xfId="24" applyFont="1" applyBorder="1" applyAlignment="1">
      <x:alignment horizontal="left" vertical="top" wrapText="1"/>
    </x:xf>
    <x:xf numFmtId="170" fontId="16" fillId="18" borderId="1" xfId="24" applyFont="1" applyBorder="1" applyAlignment="1">
      <x:alignment horizontal="center" vertical="top" wrapText="1"/>
    </x:xf>
    <x:xf numFmtId="169" fontId="16" fillId="18" borderId="1" xfId="24" applyFont="1" applyBorder="1" applyAlignment="1">
      <x:alignment horizontal="center" vertical="top" wrapText="1"/>
    </x:xf>
    <x:xf numFmtId="164" fontId="23" fillId="0" borderId="0" xfId="24" applyFont="1" applyBorder="0" applyAlignment="0">
      <x:alignment horizontal="general" vertical="bottom" wrapText="0"/>
    </x:xf>
    <x:xf numFmtId="164" fontId="17" fillId="0" borderId="0" xfId="24" applyFont="1" applyBorder="0" applyAlignment="0">
      <x:alignment horizontal="general" vertical="bottom" wrapText="0"/>
    </x:xf>
    <x:xf numFmtId="164" fontId="24" fillId="19" borderId="2" xfId="24" applyFont="1" applyBorder="1" applyAlignment="0">
      <x:alignment horizontal="general" vertical="bottom" wrapText="0"/>
    </x:xf>
    <x:xf numFmtId="164" fontId="5" fillId="0" borderId="3" xfId="24" applyFont="0" applyBorder="1" applyAlignment="0">
      <x:alignment horizontal="general" vertical="bottom" wrapText="0"/>
    </x:xf>
    <x:xf numFmtId="164" fontId="25" fillId="0" borderId="0" xfId="24" applyFont="1" applyBorder="0" applyAlignment="0">
      <x:alignment horizontal="general" vertical="bottom" wrapText="0"/>
    </x:xf>
    <x:xf numFmtId="164" fontId="19" fillId="0" borderId="0" xfId="24" applyFont="1" applyBorder="0" applyAlignment="1">
      <x:alignment horizontal="center" vertical="bottom" wrapText="0"/>
    </x:xf>
    <x:xf numFmtId="164" fontId="26" fillId="20" borderId="4" xfId="24" applyFont="1" applyBorder="1" applyAlignment="1">
      <x:alignment horizontal="general" vertical="center" wrapText="1"/>
    </x:xf>
    <x:xf numFmtId="164" fontId="27" fillId="8" borderId="4" xfId="24" applyFont="1" applyBorder="1" applyAlignment="0">
      <x:alignment horizontal="general" vertical="bottom" wrapText="0"/>
    </x:xf>
    <x:xf numFmtId="164" fontId="28" fillId="8" borderId="4" xfId="24" applyFont="1" applyBorder="1" applyAlignment="1">
      <x:alignment horizontal="center" vertical="bottom" wrapText="0"/>
    </x:xf>
    <x:xf numFmtId="164" fontId="28" fillId="8" borderId="4" xfId="24" applyFont="1" applyBorder="1" applyAlignment="0">
      <x:alignment horizontal="general" vertical="bottom" wrapText="0"/>
    </x:xf>
    <x:xf numFmtId="164" fontId="29" fillId="0" borderId="0" xfId="24" applyFont="1" applyBorder="1" applyAlignment="0">
      <x:alignment horizontal="general" vertical="bottom" wrapText="0"/>
    </x:xf>
    <x:xf numFmtId="164" fontId="23" fillId="0" borderId="0" xfId="24" applyFont="1" applyBorder="1" applyAlignment="0">
      <x:alignment horizontal="general" vertical="bottom" wrapText="0"/>
    </x:xf>
    <x:xf numFmtId="164" fontId="30" fillId="0" borderId="0" xfId="24" applyFont="1" applyBorder="0" applyAlignment="1">
      <x:alignment horizontal="general" vertical="top" wrapText="1"/>
    </x:xf>
    <x:xf numFmtId="164" fontId="31" fillId="0" borderId="0" xfId="24" applyFont="1" applyBorder="0" applyAlignment="0">
      <x:alignment horizontal="general" vertical="bottom" wrapText="0"/>
    </x:xf>
    <x:xf numFmtId="164" fontId="15" fillId="19" borderId="4" xfId="24" applyFont="1" applyBorder="1" applyAlignment="1">
      <x:alignment horizontal="center" vertical="center" wrapText="1"/>
    </x:xf>
    <x:xf numFmtId="164" fontId="32" fillId="21" borderId="4" xfId="24" applyFont="1" applyBorder="1" applyAlignment="1">
      <x:alignment horizontal="general" vertical="top" wrapText="1"/>
    </x:xf>
    <x:xf numFmtId="164" fontId="33" fillId="0" borderId="4" xfId="24" applyFont="1" applyBorder="1" applyAlignment="1">
      <x:alignment horizontal="center" vertical="center" wrapText="1"/>
    </x:xf>
    <x:xf numFmtId="164" fontId="34" fillId="0" borderId="4" xfId="24" applyFont="1" applyBorder="1" applyAlignment="1">
      <x:alignment horizontal="general" vertical="top" wrapText="1"/>
    </x:xf>
    <x:xf numFmtId="164" fontId="34" fillId="0" borderId="4" xfId="24" applyFont="1" applyBorder="1" applyAlignment="1">
      <x:alignment horizontal="center" vertical="center" wrapText="0"/>
    </x:xf>
    <x:xf numFmtId="164" fontId="4" fillId="0" borderId="4" xfId="24" applyFont="1" applyBorder="1" applyAlignment="1">
      <x:alignment horizontal="general" vertical="top" wrapText="1"/>
    </x:xf>
    <x:xf numFmtId="164" fontId="32" fillId="22" borderId="4" xfId="24" applyFont="1" applyBorder="1" applyAlignment="1">
      <x:alignment horizontal="general" vertical="top" wrapText="1"/>
    </x:xf>
    <x:xf numFmtId="164" fontId="32" fillId="23" borderId="4" xfId="24" applyFont="1" applyBorder="1" applyAlignment="1">
      <x:alignment horizontal="general" vertical="top" wrapText="1"/>
    </x:xf>
    <x:xf numFmtId="164" fontId="32" fillId="24" borderId="4" xfId="24" applyFont="1" applyBorder="1" applyAlignment="1">
      <x:alignment horizontal="general" vertical="top" wrapText="1"/>
    </x:xf>
    <x:xf numFmtId="164" fontId="35" fillId="0" borderId="0" xfId="24" applyFont="1" applyBorder="0" applyAlignment="0">
      <x:alignment horizontal="general" vertical="bottom" wrapText="0"/>
    </x:xf>
    <x:xf numFmtId="164" fontId="15" fillId="25" borderId="4" xfId="24" applyFont="1" applyBorder="1" applyAlignment="1">
      <x:alignment horizontal="center" vertical="center" wrapText="1"/>
    </x:xf>
    <x:xf numFmtId="164" fontId="33" fillId="0" borderId="4" xfId="24" applyFont="1" applyBorder="1" applyAlignment="1">
      <x:alignment horizontal="center" vertical="top" wrapText="1"/>
    </x:xf>
    <x:xf numFmtId="164" fontId="34" fillId="0" borderId="4" xfId="24" applyFont="1" applyBorder="1" applyAlignment="1">
      <x:alignment horizontal="center" vertical="top" wrapText="1"/>
    </x:xf>
    <x:xf numFmtId="164" fontId="35" fillId="0" borderId="0" xfId="24" applyFont="1" applyBorder="0" applyAlignment="1">
      <x:alignment horizontal="general" vertical="top" wrapText="1"/>
    </x:xf>
    <x:xf numFmtId="164" fontId="31" fillId="0" borderId="0" xfId="24" applyFont="1" applyBorder="1" applyAlignment="1">
      <x:alignment horizontal="left" vertical="center" wrapText="0"/>
    </x:xf>
    <x:xf numFmtId="164" fontId="15" fillId="19" borderId="5" xfId="24" applyFont="1" applyBorder="1" applyAlignment="1">
      <x:alignment horizontal="center" vertical="center" wrapText="1"/>
    </x:xf>
    <x:xf numFmtId="164" fontId="32" fillId="21" borderId="5" xfId="24" applyFont="1" applyBorder="1" applyAlignment="1">
      <x:alignment horizontal="left" vertical="top" wrapText="1"/>
    </x:xf>
    <x:xf numFmtId="164" fontId="34" fillId="0" borderId="5" xfId="24" applyFont="1" applyBorder="1" applyAlignment="1">
      <x:alignment horizontal="left" vertical="top" wrapText="1"/>
    </x:xf>
    <x:xf numFmtId="164" fontId="33" fillId="0" borderId="5" xfId="24" applyFont="1" applyBorder="1" applyAlignment="1">
      <x:alignment horizontal="left" vertical="top" wrapText="1"/>
    </x:xf>
    <x:xf numFmtId="164" fontId="36" fillId="0" borderId="5" xfId="24" applyFont="1" applyBorder="1" applyAlignment="1">
      <x:alignment horizontal="center" vertical="top" wrapText="1"/>
    </x:xf>
    <x:xf numFmtId="164" fontId="33" fillId="0" borderId="5" xfId="24" applyFont="1" applyBorder="1" applyAlignment="1">
      <x:alignment horizontal="center" vertical="top" wrapText="1"/>
    </x:xf>
    <x:xf numFmtId="164" fontId="37" fillId="0" borderId="0" xfId="24" applyFont="1" applyBorder="1" applyAlignment="1">
      <x:alignment horizontal="left" vertical="top" wrapText="1"/>
    </x:xf>
    <x:xf numFmtId="164" fontId="14" fillId="0" borderId="0" xfId="24" applyFont="1" applyBorder="0" applyAlignment="0">
      <x:alignment horizontal="general" vertical="bottom" wrapText="0"/>
    </x:xf>
    <x:xf numFmtId="164" fontId="38" fillId="0" borderId="0" xfId="24" applyFont="1" applyBorder="0" applyAlignment="1">
      <x:alignment horizontal="general" vertical="top" wrapText="0"/>
    </x:xf>
    <x:xf numFmtId="164" fontId="15" fillId="10" borderId="0" xfId="24" applyFont="1" applyBorder="0" applyAlignment="1">
      <x:alignment horizontal="general" vertical="center" wrapText="1"/>
    </x:xf>
    <x:xf numFmtId="164" fontId="0" fillId="0" borderId="6" xfId="0" applyNumberFormat="1" applyFont="1" applyFill="1" applyBorder="1" applyAlignment="1">
      <x:alignment horizontal="general" vertical="bottom" wrapText="0"/>
    </x:xf>
    <x:xf numFmtId="164" fontId="5" fillId="0" borderId="6" xfId="0" applyNumberFormat="1" applyFont="1" applyFill="1" applyBorder="1" applyAlignment="1">
      <x:alignment horizontal="general" vertical="bottom" wrapText="0"/>
    </x:xf>
    <x:xf numFmtId="164" fontId="6" fillId="0" borderId="6" xfId="0" applyNumberFormat="1" applyFont="1" applyFill="1" applyBorder="1" applyAlignment="1">
      <x:alignment horizontal="general" vertical="bottom" wrapText="0"/>
    </x:xf>
    <x:xf numFmtId="164" fontId="7" fillId="0" borderId="6" xfId="0" applyNumberFormat="1" applyFont="1" applyFill="1" applyBorder="1" applyAlignment="1">
      <x:alignment horizontal="general" vertical="bottom" wrapText="0"/>
    </x:xf>
    <x:xf numFmtId="164" fontId="8" fillId="0" borderId="6" xfId="0" applyNumberFormat="1" applyFont="1" applyFill="1" applyBorder="1" applyAlignment="1">
      <x:alignment horizontal="general" vertical="top" wrapText="1"/>
    </x:xf>
    <x:xf numFmtId="164" fontId="0" fillId="0" borderId="6" xfId="0" applyNumberFormat="1" applyFont="1" applyFill="1" applyBorder="1" applyAlignment="1">
      <x:alignment horizontal="general" vertical="top" wrapText="1"/>
    </x:xf>
    <x:xf numFmtId="164" fontId="9" fillId="0" borderId="6" xfId="0" applyNumberFormat="1" applyFont="1" applyFill="1" applyBorder="1" applyAlignment="1">
      <x:alignment horizontal="general" vertical="bottom" wrapText="0"/>
    </x:xf>
    <x:xf numFmtId="164" fontId="10" fillId="0" borderId="6" xfId="0" applyNumberFormat="1" applyFont="1" applyFill="1" applyBorder="1" applyAlignment="1">
      <x:alignment horizontal="general" vertical="bottom" wrapText="0"/>
    </x:xf>
    <x:xf numFmtId="164" fontId="11" fillId="0" borderId="6" xfId="0" applyNumberFormat="1" applyFont="1" applyFill="1" applyBorder="1" applyAlignment="1">
      <x:alignment horizontal="general" vertical="center" wrapText="1"/>
    </x:xf>
    <x:xf numFmtId="164" fontId="12" fillId="0" borderId="6" xfId="0" applyNumberFormat="1" applyFont="1" applyFill="1" applyBorder="1" applyAlignment="1">
      <x:alignment horizontal="general" vertical="top" wrapText="1"/>
    </x:xf>
    <x:xf numFmtId="164" fontId="13" fillId="0" borderId="6" xfId="0" applyNumberFormat="1" applyFont="1" applyFill="1" applyBorder="1" applyAlignment="1">
      <x:alignment horizontal="general" vertical="top" wrapText="1"/>
    </x:xf>
    <x:xf numFmtId="164" fontId="14" fillId="0" borderId="6" xfId="0" applyNumberFormat="1" applyFont="1" applyFill="1" applyBorder="1" applyAlignment="1">
      <x:alignment horizontal="general" vertical="bottom" wrapText="0"/>
    </x:xf>
    <x:xf numFmtId="164" fontId="15" fillId="2" borderId="7" xfId="0" applyNumberFormat="1" applyFont="1" applyFill="1" applyBorder="1" applyAlignment="1">
      <x:alignment horizontal="left" vertical="center" wrapText="1"/>
    </x:xf>
    <x:xf numFmtId="164" fontId="16" fillId="3" borderId="7" xfId="0" applyNumberFormat="1" applyFont="1" applyFill="1" applyBorder="1" applyAlignment="1">
      <x:alignment horizontal="left" vertical="top" wrapText="1"/>
    </x:xf>
    <x:xf numFmtId="164" fontId="0" fillId="3" borderId="7" xfId="0" applyNumberFormat="1" applyFont="1" applyFill="1" applyBorder="1" applyAlignment="1">
      <x:alignment horizontal="left" vertical="top" wrapText="1"/>
    </x:xf>
    <x:xf numFmtId="164" fontId="16" fillId="4" borderId="7" xfId="0" applyNumberFormat="1" applyFont="1" applyFill="1" applyBorder="1" applyAlignment="1">
      <x:alignment horizontal="left" vertical="top" wrapText="1"/>
    </x:xf>
    <x:xf numFmtId="164" fontId="0" fillId="4" borderId="7" xfId="0" applyNumberFormat="1" applyFont="1" applyFill="1" applyBorder="1" applyAlignment="1">
      <x:alignment horizontal="left" vertical="top" wrapText="1"/>
    </x:xf>
    <x:xf numFmtId="164" fontId="17" fillId="0" borderId="6" xfId="0" applyNumberFormat="1" applyFont="1" applyFill="1" applyBorder="1" applyAlignment="1">
      <x:alignment horizontal="general" vertical="top" wrapText="1"/>
    </x:xf>
    <x:xf numFmtId="164" fontId="15" fillId="5" borderId="7" xfId="0" applyNumberFormat="1" applyFont="1" applyFill="1" applyBorder="1" applyAlignment="1">
      <x:alignment horizontal="left" vertical="center" wrapText="1"/>
    </x:xf>
    <x:xf numFmtId="164" fontId="16" fillId="6" borderId="7" xfId="0" applyNumberFormat="1" applyFont="1" applyFill="1" applyBorder="1" applyAlignment="1">
      <x:alignment horizontal="left" vertical="top" wrapText="1"/>
    </x:xf>
    <x:xf numFmtId="164" fontId="18" fillId="6" borderId="7" xfId="0" applyNumberFormat="1" applyFont="1" applyFill="1" applyBorder="1" applyAlignment="1">
      <x:alignment horizontal="left" vertical="top" wrapText="1"/>
    </x:xf>
    <x:xf numFmtId="164" fontId="16" fillId="7" borderId="7" xfId="0" applyNumberFormat="1" applyFont="1" applyFill="1" applyBorder="1" applyAlignment="1">
      <x:alignment horizontal="left" vertical="top" wrapText="1"/>
    </x:xf>
    <x:xf numFmtId="164" fontId="0" fillId="7" borderId="7" xfId="0" applyNumberFormat="1" applyFont="1" applyFill="1" applyBorder="1" applyAlignment="1">
      <x:alignment horizontal="left" vertical="top" wrapText="1"/>
    </x:xf>
    <x:xf numFmtId="164" fontId="16" fillId="8" borderId="7" xfId="0" applyNumberFormat="1" applyFont="1" applyFill="1" applyBorder="1" applyAlignment="1">
      <x:alignment horizontal="left" vertical="top" wrapText="1"/>
    </x:xf>
    <x:xf numFmtId="164" fontId="0" fillId="8" borderId="7" xfId="0" applyNumberFormat="1" applyFont="1" applyFill="1" applyBorder="1" applyAlignment="1">
      <x:alignment horizontal="left" vertical="top" wrapText="1"/>
    </x:xf>
    <x:xf numFmtId="164" fontId="19" fillId="9" borderId="7" xfId="0" applyNumberFormat="1" applyFont="1" applyFill="1" applyBorder="1" applyAlignment="1">
      <x:alignment horizontal="left" vertical="top" wrapText="1"/>
    </x:xf>
    <x:xf numFmtId="164" fontId="0" fillId="9" borderId="7" xfId="0" applyNumberFormat="1" applyFont="1" applyFill="1" applyBorder="1" applyAlignment="1">
      <x:alignment horizontal="left" vertical="top" wrapText="1"/>
    </x:xf>
    <x:xf numFmtId="164" fontId="18" fillId="6" borderId="7" xfId="0" applyNumberFormat="1" applyFont="1" applyFill="1" applyBorder="1" applyAlignment="1">
      <x:alignment horizontal="general" vertical="top" wrapText="1"/>
    </x:xf>
    <x:xf numFmtId="164" fontId="15" fillId="10" borderId="7" xfId="0" applyNumberFormat="1" applyFont="1" applyFill="1" applyBorder="1" applyAlignment="1">
      <x:alignment horizontal="left" vertical="center" wrapText="1"/>
    </x:xf>
    <x:xf numFmtId="164" fontId="15" fillId="10" borderId="6" xfId="0" applyNumberFormat="1" applyFont="1" applyFill="1" applyBorder="1" applyAlignment="1">
      <x:alignment horizontal="center" vertical="center" wrapText="1"/>
    </x:xf>
    <x:xf numFmtId="164" fontId="0" fillId="3" borderId="7" xfId="0" applyNumberFormat="1" applyFont="1" applyFill="1" applyBorder="1" applyAlignment="1">
      <x:alignment horizontal="center" vertical="top" wrapText="1"/>
    </x:xf>
    <x:xf numFmtId="164" fontId="0" fillId="3" borderId="7" xfId="0" applyNumberFormat="1" applyFont="1" applyFill="1" applyBorder="1" applyAlignment="1">
      <x:alignment horizontal="general" vertical="top" wrapText="1"/>
    </x:xf>
    <x:xf numFmtId="164" fontId="0" fillId="11" borderId="7" xfId="0" applyNumberFormat="1" applyFont="1" applyFill="1" applyBorder="1" applyAlignment="1">
      <x:alignment horizontal="left" vertical="top" wrapText="1"/>
    </x:xf>
    <x:xf numFmtId="164" fontId="16" fillId="11" borderId="7" xfId="0" applyNumberFormat="1" applyFont="1" applyFill="1" applyBorder="1" applyAlignment="1">
      <x:alignment horizontal="left" vertical="top" wrapText="1"/>
    </x:xf>
    <x:xf numFmtId="164" fontId="0" fillId="11" borderId="7" xfId="0" applyNumberFormat="1" applyFont="1" applyFill="1" applyBorder="1" applyAlignment="1">
      <x:alignment horizontal="center" vertical="top" wrapText="1"/>
    </x:xf>
    <x:xf numFmtId="164" fontId="15" fillId="12" borderId="7" xfId="0" applyNumberFormat="1" applyFont="1" applyFill="1" applyBorder="1" applyAlignment="1">
      <x:alignment horizontal="left" vertical="center" wrapText="1"/>
    </x:xf>
    <x:xf numFmtId="164" fontId="20" fillId="0" borderId="6" xfId="0" applyNumberFormat="1" applyFont="1" applyFill="1" applyBorder="1" applyAlignment="1">
      <x:alignment horizontal="general" vertical="bottom" wrapText="1"/>
    </x:xf>
    <x:xf numFmtId="164" fontId="15" fillId="13" borderId="7" xfId="0" applyNumberFormat="1" applyFont="1" applyFill="1" applyBorder="1" applyAlignment="1">
      <x:alignment horizontal="left" vertical="center" wrapText="1"/>
    </x:xf>
    <x:xf numFmtId="164" fontId="15" fillId="14" borderId="7" xfId="0" applyNumberFormat="1" applyFont="1" applyFill="1" applyBorder="1" applyAlignment="1">
      <x:alignment horizontal="left" vertical="center" wrapText="1"/>
    </x:xf>
    <x:xf numFmtId="164" fontId="16" fillId="3" borderId="7" xfId="0" applyNumberFormat="1" applyFont="1" applyFill="1" applyBorder="1" applyAlignment="1">
      <x:alignment horizontal="center" vertical="top" wrapText="1"/>
    </x:xf>
    <x:xf numFmtId="164" fontId="16" fillId="15" borderId="7" xfId="0" applyNumberFormat="1" applyFont="1" applyFill="1" applyBorder="1" applyAlignment="1">
      <x:alignment horizontal="center" vertical="top" wrapText="1"/>
    </x:xf>
    <x:xf numFmtId="164" fontId="16" fillId="15" borderId="7" xfId="0" applyNumberFormat="1" applyFont="1" applyFill="1" applyBorder="1" applyAlignment="1">
      <x:alignment horizontal="left" vertical="top" wrapText="1"/>
    </x:xf>
    <x:xf numFmtId="164" fontId="0" fillId="15" borderId="7" xfId="0" applyNumberFormat="1" applyFont="1" applyFill="1" applyBorder="1" applyAlignment="1">
      <x:alignment horizontal="center" vertical="top" wrapText="1"/>
    </x:xf>
    <x:xf numFmtId="164" fontId="0" fillId="15" borderId="7" xfId="0" applyNumberFormat="1" applyFont="1" applyFill="1" applyBorder="1" applyAlignment="1">
      <x:alignment horizontal="left" vertical="top" wrapText="1"/>
    </x:xf>
    <x:xf numFmtId="164" fontId="21" fillId="0" borderId="6" xfId="0" applyNumberFormat="1" applyFont="1" applyFill="1" applyBorder="1" applyAlignment="1">
      <x:alignment horizontal="general" vertical="bottom" wrapText="0"/>
    </x:xf>
    <x:xf numFmtId="164" fontId="22" fillId="0" borderId="6" xfId="0" applyNumberFormat="1" applyFont="1" applyFill="1" applyBorder="1" applyAlignment="1">
      <x:alignment horizontal="general" vertical="bottom" wrapText="0"/>
    </x:xf>
    <x:xf numFmtId="164" fontId="15" fillId="16" borderId="7" xfId="0" applyNumberFormat="1" applyFont="1" applyFill="1" applyBorder="1" applyAlignment="1">
      <x:alignment horizontal="left" vertical="center" wrapText="1"/>
    </x:xf>
    <x:xf numFmtId="169" fontId="0" fillId="3" borderId="7" xfId="0" applyNumberFormat="1" applyFont="1" applyFill="1" applyBorder="1" applyAlignment="1">
      <x:alignment horizontal="center" vertical="top" wrapText="1"/>
    </x:xf>
    <x:xf numFmtId="164" fontId="16" fillId="17" borderId="7" xfId="0" applyNumberFormat="1" applyFont="1" applyFill="1" applyBorder="1" applyAlignment="1">
      <x:alignment horizontal="left" vertical="top" wrapText="1"/>
    </x:xf>
    <x:xf numFmtId="164" fontId="0" fillId="17" borderId="7" xfId="0" applyNumberFormat="1" applyFont="1" applyFill="1" applyBorder="1" applyAlignment="1">
      <x:alignment horizontal="center" vertical="top" wrapText="1"/>
    </x:xf>
    <x:xf numFmtId="169" fontId="0" fillId="17" borderId="7" xfId="0" applyNumberFormat="1" applyFont="1" applyFill="1" applyBorder="1" applyAlignment="1">
      <x:alignment horizontal="center" vertical="top" wrapText="1"/>
    </x:xf>
    <x:xf numFmtId="164" fontId="16" fillId="18" borderId="7" xfId="0" applyNumberFormat="1" applyFont="1" applyFill="1" applyBorder="1" applyAlignment="1">
      <x:alignment horizontal="left" vertical="top" wrapText="1"/>
    </x:xf>
    <x:xf numFmtId="164" fontId="16" fillId="18" borderId="7" xfId="0" applyNumberFormat="1" applyFont="1" applyFill="1" applyBorder="1" applyAlignment="1">
      <x:alignment horizontal="center" vertical="top" wrapText="1"/>
    </x:xf>
    <x:xf numFmtId="169" fontId="16" fillId="18" borderId="7" xfId="0" applyNumberFormat="1" applyFont="1" applyFill="1" applyBorder="1" applyAlignment="1">
      <x:alignment horizontal="center" vertical="top" wrapText="1"/>
    </x:xf>
    <x:xf numFmtId="164" fontId="23" fillId="0" borderId="6" xfId="0" applyNumberFormat="1" applyFont="1" applyFill="1" applyBorder="1" applyAlignment="1">
      <x:alignment horizontal="general" vertical="bottom" wrapText="0"/>
    </x:xf>
    <x:xf numFmtId="164" fontId="17" fillId="0" borderId="6" xfId="0" applyNumberFormat="1" applyFont="1" applyFill="1" applyBorder="1" applyAlignment="1">
      <x:alignment horizontal="general" vertical="bottom" wrapText="0"/>
    </x:xf>
    <x:xf numFmtId="164" fontId="24" fillId="19" borderId="8" xfId="0" applyNumberFormat="1" applyFont="1" applyFill="1" applyBorder="1" applyAlignment="1">
      <x:alignment horizontal="general" vertical="bottom" wrapText="0"/>
    </x:xf>
    <x:xf numFmtId="164" fontId="5" fillId="0" borderId="9" xfId="0" applyNumberFormat="1" applyFont="1" applyFill="1" applyBorder="1" applyAlignment="1">
      <x:alignment horizontal="general" vertical="bottom" wrapText="0"/>
    </x:xf>
    <x:xf numFmtId="164" fontId="25" fillId="0" borderId="6" xfId="0" applyNumberFormat="1" applyFont="1" applyFill="1" applyBorder="1" applyAlignment="1">
      <x:alignment horizontal="general" vertical="bottom" wrapText="0"/>
    </x:xf>
    <x:xf numFmtId="164" fontId="19" fillId="0" borderId="6" xfId="0" applyNumberFormat="1" applyFont="1" applyFill="1" applyBorder="1" applyAlignment="1">
      <x:alignment horizontal="center" vertical="bottom" wrapText="0"/>
    </x:xf>
    <x:xf numFmtId="164" fontId="26" fillId="20" borderId="10" xfId="0" applyNumberFormat="1" applyFont="1" applyFill="1" applyBorder="1" applyAlignment="1">
      <x:alignment horizontal="general" vertical="center" wrapText="1"/>
    </x:xf>
    <x:xf numFmtId="164" fontId="27" fillId="8" borderId="10" xfId="0" applyNumberFormat="1" applyFont="1" applyFill="1" applyBorder="1" applyAlignment="1">
      <x:alignment horizontal="general" vertical="bottom" wrapText="0"/>
    </x:xf>
    <x:xf numFmtId="164" fontId="28" fillId="8" borderId="10" xfId="0" applyNumberFormat="1" applyFont="1" applyFill="1" applyBorder="1" applyAlignment="1">
      <x:alignment horizontal="center" vertical="bottom" wrapText="0"/>
    </x:xf>
    <x:xf numFmtId="164" fontId="28" fillId="8" borderId="10" xfId="0" applyNumberFormat="1" applyFont="1" applyFill="1" applyBorder="1" applyAlignment="1">
      <x:alignment horizontal="general" vertical="bottom" wrapText="0"/>
    </x:xf>
    <x:xf numFmtId="164" fontId="29" fillId="0" borderId="6" xfId="0" applyNumberFormat="1" applyFont="1" applyFill="1" applyBorder="1" applyAlignment="1">
      <x:alignment horizontal="general" vertical="bottom" wrapText="0"/>
    </x:xf>
    <x:xf numFmtId="164" fontId="30" fillId="0" borderId="6" xfId="0" applyNumberFormat="1" applyFont="1" applyFill="1" applyBorder="1" applyAlignment="1">
      <x:alignment horizontal="general" vertical="top" wrapText="1"/>
    </x:xf>
    <x:xf numFmtId="164" fontId="31" fillId="0" borderId="6" xfId="0" applyNumberFormat="1" applyFont="1" applyFill="1" applyBorder="1" applyAlignment="1">
      <x:alignment horizontal="general" vertical="bottom" wrapText="0"/>
    </x:xf>
    <x:xf numFmtId="164" fontId="15" fillId="19" borderId="10" xfId="0" applyNumberFormat="1" applyFont="1" applyFill="1" applyBorder="1" applyAlignment="1">
      <x:alignment horizontal="center" vertical="center" wrapText="1"/>
    </x:xf>
    <x:xf numFmtId="164" fontId="32" fillId="21" borderId="10" xfId="0" applyNumberFormat="1" applyFont="1" applyFill="1" applyBorder="1" applyAlignment="1">
      <x:alignment horizontal="general" vertical="top" wrapText="1"/>
    </x:xf>
    <x:xf numFmtId="164" fontId="33" fillId="0" borderId="10" xfId="0" applyNumberFormat="1" applyFont="1" applyFill="1" applyBorder="1" applyAlignment="1">
      <x:alignment horizontal="center" vertical="center" wrapText="1"/>
    </x:xf>
    <x:xf numFmtId="164" fontId="34" fillId="0" borderId="10" xfId="0" applyNumberFormat="1" applyFont="1" applyFill="1" applyBorder="1" applyAlignment="1">
      <x:alignment horizontal="general" vertical="top" wrapText="1"/>
    </x:xf>
    <x:xf numFmtId="164" fontId="34" fillId="0" borderId="10" xfId="0" applyNumberFormat="1" applyFont="1" applyFill="1" applyBorder="1" applyAlignment="1">
      <x:alignment horizontal="center" vertical="center" wrapText="0"/>
    </x:xf>
    <x:xf numFmtId="164" fontId="0" fillId="0" borderId="10" xfId="0" applyNumberFormat="1" applyFont="1" applyFill="1" applyBorder="1" applyAlignment="1">
      <x:alignment horizontal="general" vertical="top" wrapText="1"/>
    </x:xf>
    <x:xf numFmtId="164" fontId="32" fillId="22" borderId="10" xfId="0" applyNumberFormat="1" applyFont="1" applyFill="1" applyBorder="1" applyAlignment="1">
      <x:alignment horizontal="general" vertical="top" wrapText="1"/>
    </x:xf>
    <x:xf numFmtId="164" fontId="32" fillId="23" borderId="10" xfId="0" applyNumberFormat="1" applyFont="1" applyFill="1" applyBorder="1" applyAlignment="1">
      <x:alignment horizontal="general" vertical="top" wrapText="1"/>
    </x:xf>
    <x:xf numFmtId="164" fontId="32" fillId="24" borderId="10" xfId="0" applyNumberFormat="1" applyFont="1" applyFill="1" applyBorder="1" applyAlignment="1">
      <x:alignment horizontal="general" vertical="top" wrapText="1"/>
    </x:xf>
    <x:xf numFmtId="164" fontId="35" fillId="0" borderId="6" xfId="0" applyNumberFormat="1" applyFont="1" applyFill="1" applyBorder="1" applyAlignment="1">
      <x:alignment horizontal="general" vertical="bottom" wrapText="0"/>
    </x:xf>
    <x:xf numFmtId="164" fontId="15" fillId="25" borderId="10" xfId="0" applyNumberFormat="1" applyFont="1" applyFill="1" applyBorder="1" applyAlignment="1">
      <x:alignment horizontal="center" vertical="center" wrapText="1"/>
    </x:xf>
    <x:xf numFmtId="164" fontId="33" fillId="0" borderId="10" xfId="0" applyNumberFormat="1" applyFont="1" applyFill="1" applyBorder="1" applyAlignment="1">
      <x:alignment horizontal="center" vertical="top" wrapText="1"/>
    </x:xf>
    <x:xf numFmtId="164" fontId="34" fillId="0" borderId="10" xfId="0" applyNumberFormat="1" applyFont="1" applyFill="1" applyBorder="1" applyAlignment="1">
      <x:alignment horizontal="center" vertical="top" wrapText="1"/>
    </x:xf>
    <x:xf numFmtId="164" fontId="35" fillId="0" borderId="6" xfId="0" applyNumberFormat="1" applyFont="1" applyFill="1" applyBorder="1" applyAlignment="1">
      <x:alignment horizontal="general" vertical="top" wrapText="1"/>
    </x:xf>
    <x:xf numFmtId="164" fontId="31" fillId="0" borderId="6" xfId="0" applyNumberFormat="1" applyFont="1" applyFill="1" applyBorder="1" applyAlignment="1">
      <x:alignment horizontal="left" vertical="center" wrapText="0"/>
    </x:xf>
    <x:xf numFmtId="164" fontId="15" fillId="19" borderId="11" xfId="0" applyNumberFormat="1" applyFont="1" applyFill="1" applyBorder="1" applyAlignment="1">
      <x:alignment horizontal="center" vertical="center" wrapText="1"/>
    </x:xf>
    <x:xf numFmtId="164" fontId="32" fillId="21" borderId="11" xfId="0" applyNumberFormat="1" applyFont="1" applyFill="1" applyBorder="1" applyAlignment="1">
      <x:alignment horizontal="left" vertical="top" wrapText="1"/>
    </x:xf>
    <x:xf numFmtId="164" fontId="34" fillId="0" borderId="11" xfId="0" applyNumberFormat="1" applyFont="1" applyFill="1" applyBorder="1" applyAlignment="1">
      <x:alignment horizontal="left" vertical="top" wrapText="1"/>
    </x:xf>
    <x:xf numFmtId="164" fontId="33" fillId="0" borderId="11" xfId="0" applyNumberFormat="1" applyFont="1" applyFill="1" applyBorder="1" applyAlignment="1">
      <x:alignment horizontal="left" vertical="top" wrapText="1"/>
    </x:xf>
    <x:xf numFmtId="164" fontId="36" fillId="0" borderId="11" xfId="0" applyNumberFormat="1" applyFont="1" applyFill="1" applyBorder="1" applyAlignment="1">
      <x:alignment horizontal="center" vertical="top" wrapText="1"/>
    </x:xf>
    <x:xf numFmtId="164" fontId="33" fillId="0" borderId="11" xfId="0" applyNumberFormat="1" applyFont="1" applyFill="1" applyBorder="1" applyAlignment="1">
      <x:alignment horizontal="center" vertical="top" wrapText="1"/>
    </x:xf>
    <x:xf numFmtId="164" fontId="37" fillId="0" borderId="6" xfId="0" applyNumberFormat="1" applyFont="1" applyFill="1" applyBorder="1" applyAlignment="1">
      <x:alignment horizontal="left" vertical="top" wrapText="1"/>
    </x:xf>
    <x:xf numFmtId="164" fontId="38" fillId="0" borderId="6" xfId="0" applyNumberFormat="1" applyFont="1" applyFill="1" applyBorder="1" applyAlignment="1">
      <x:alignment horizontal="general" vertical="top" wrapText="0"/>
    </x:xf>
    <x:xf numFmtId="164" fontId="15" fillId="10" borderId="6" xfId="0" applyNumberFormat="1" applyFont="1" applyFill="1" applyBorder="1" applyAlignment="1">
      <x:alignment horizontal="general" vertical="center" wrapText="1"/>
    </x:xf>
    <x:xf numFmtId="164" fontId="0" fillId="26" borderId="0" xfId="0" applyNumberFormat="1" applyFont="1" applyFill="1" applyBorder="1" applyAlignment="1">
      <x:alignment horizontal="general" vertical="bottom" wrapText="0"/>
    </x:xf>
    <x:xf numFmtId="164" fontId="39" fillId="26" borderId="0" xfId="0" applyNumberFormat="1" applyFont="1" applyFill="1" applyBorder="1" applyAlignment="1">
      <x:alignment horizontal="general" vertical="bottom" wrapText="0"/>
    </x:xf>
    <x:xf numFmtId="164" fontId="39" fillId="26" borderId="0" xfId="0" applyNumberFormat="1" applyFont="1" applyFill="1" applyBorder="1" applyAlignment="1">
      <x:alignment horizontal="center" vertical="bottom" wrapText="0"/>
    </x:xf>
    <x:xf numFmtId="164" fontId="39" fillId="26" borderId="0" xfId="0" applyNumberFormat="1" applyFont="1" applyFill="1" applyBorder="1" applyAlignment="1">
      <x:alignment horizontal="center" vertical="center" wrapText="0"/>
    </x:xf>
    <x:xf numFmtId="164" fontId="0" fillId="26" borderId="6" xfId="0" applyNumberFormat="1" applyFont="1" applyFill="1" applyBorder="1" applyAlignment="1">
      <x:alignment horizontal="general" vertical="bottom" wrapText="0"/>
    </x:xf>
    <x:xf numFmtId="164" fontId="39" fillId="26" borderId="6" xfId="0" applyNumberFormat="1" applyFont="1" applyFill="1" applyBorder="1" applyAlignment="1">
      <x:alignment horizontal="general" vertical="bottom" wrapText="0"/>
    </x:xf>
    <x:xf numFmtId="164" fontId="39" fillId="26" borderId="6" xfId="0" applyNumberFormat="1" applyFont="1" applyFill="1" applyBorder="1" applyAlignment="1">
      <x:alignment horizontal="center" vertical="bottom" wrapText="0"/>
    </x:xf>
    <x:xf numFmtId="164" fontId="39" fillId="26" borderId="6" xfId="0" applyNumberFormat="1" applyFont="1" applyFill="1" applyBorder="1" applyAlignment="1">
      <x:alignment horizontal="center" vertical="center" wrapText="0"/>
    </x:xf>
    <x:xf numFmtId="164" fontId="0" fillId="27" borderId="0" xfId="0" applyNumberFormat="1" applyFont="1" applyFill="1" applyBorder="1" applyAlignment="1">
      <x:alignment horizontal="general" vertical="bottom" wrapText="0"/>
    </x:xf>
    <x:xf numFmtId="164" fontId="16" fillId="27" borderId="0" xfId="0" applyNumberFormat="1" applyFont="1" applyFill="1" applyBorder="1" applyAlignment="1">
      <x:alignment horizontal="general" vertical="bottom" wrapText="0"/>
    </x:xf>
    <x:xf numFmtId="164" fontId="16" fillId="27" borderId="0" xfId="0" applyNumberFormat="1" applyFont="1" applyFill="1" applyBorder="1" applyAlignment="1">
      <x:alignment horizontal="general" vertical="bottom" wrapText="1"/>
    </x:xf>
    <x:xf numFmtId="164" fontId="16" fillId="27" borderId="0" xfId="0" applyNumberFormat="1" applyFont="1" applyFill="1" applyBorder="1" applyAlignment="1">
      <x:alignment horizontal="center" vertical="bottom" wrapText="1"/>
    </x:xf>
    <x:xf numFmtId="164" fontId="16" fillId="27" borderId="0" xfId="0" applyNumberFormat="1" applyFont="1" applyFill="1" applyBorder="1" applyAlignment="1">
      <x:alignment horizontal="center" vertical="center" wrapText="1"/>
    </x:xf>
    <x:xf numFmtId="164" fontId="0" fillId="27" borderId="6" xfId="0" applyNumberFormat="1" applyFont="1" applyFill="1" applyBorder="1" applyAlignment="1">
      <x:alignment horizontal="general" vertical="bottom" wrapText="0"/>
    </x:xf>
    <x:xf numFmtId="164" fontId="16" fillId="27" borderId="6" xfId="0" applyNumberFormat="1" applyFont="1" applyFill="1" applyBorder="1" applyAlignment="1">
      <x:alignment horizontal="general" vertical="bottom" wrapText="0"/>
    </x:xf>
    <x:xf numFmtId="164" fontId="16" fillId="27" borderId="6" xfId="0" applyNumberFormat="1" applyFont="1" applyFill="1" applyBorder="1" applyAlignment="1">
      <x:alignment horizontal="general" vertical="bottom" wrapText="1"/>
    </x:xf>
    <x:xf numFmtId="164" fontId="16" fillId="27" borderId="6" xfId="0" applyNumberFormat="1" applyFont="1" applyFill="1" applyBorder="1" applyAlignment="1">
      <x:alignment horizontal="center" vertical="bottom" wrapText="1"/>
    </x:xf>
    <x:xf numFmtId="164" fontId="16" fillId="27" borderId="6" xfId="0" applyNumberFormat="1" applyFont="1" applyFill="1" applyBorder="1" applyAlignment="1">
      <x:alignment horizontal="center" vertical="center" wrapText="1"/>
    </x:xf>
    <x:xf numFmtId="164" fontId="0" fillId="0" borderId="0" xfId="0" applyNumberFormat="1" applyFont="1" applyFill="1" applyBorder="1" applyAlignment="1">
      <x:alignment horizontal="general" vertical="bottom" wrapText="1"/>
    </x:xf>
    <x:xf numFmtId="164" fontId="0" fillId="0" borderId="6" xfId="0" applyNumberFormat="1" applyFont="1" applyFill="1" applyBorder="1" applyAlignment="1">
      <x:alignment horizontal="general" vertical="bottom" wrapText="1"/>
    </x:xf>
    <x:xf numFmtId="164" fontId="0" fillId="0" borderId="0" xfId="0" applyNumberFormat="1" applyFont="1" applyFill="1" applyBorder="1" applyAlignment="1">
      <x:alignment horizontal="general" vertical="top" wrapText="1"/>
    </x:xf>
    <x:xf numFmtId="164" fontId="0" fillId="0" borderId="0" xfId="0" applyNumberFormat="1" applyFont="1" applyFill="1" applyBorder="1" applyAlignment="1">
      <x:alignment horizontal="general" vertical="bottom" wrapText="0"/>
    </x:xf>
    <x:xf numFmtId="164" fontId="0" fillId="28" borderId="0" xfId="0" applyNumberFormat="1" applyFont="1" applyFill="1" applyBorder="1" applyAlignment="1">
      <x:alignment horizontal="general" vertical="bottom" wrapText="0"/>
    </x:xf>
    <x:xf numFmtId="164" fontId="18" fillId="28" borderId="0" xfId="0" applyNumberFormat="1" applyFont="1" applyFill="1" applyBorder="1" applyAlignment="1">
      <x:alignment horizontal="general" vertical="bottom" wrapText="0"/>
    </x:xf>
    <x:xf numFmtId="164" fontId="18" fillId="28" borderId="0" xfId="0" applyNumberFormat="1" applyFont="1" applyFill="1" applyBorder="1" applyAlignment="1">
      <x:alignment horizontal="general" vertical="bottom" wrapText="1"/>
    </x:xf>
  </x:cellXfs>
  <x:cellStyles count="12">
    <x:cellStyle name="Normal" xfId="0"/>
    <x:cellStyle name="Comma" xfId="15"/>
    <x:cellStyle name="Comma [0]" xfId="16"/>
    <x:cellStyle name="Currency" xfId="17"/>
    <x:cellStyle name="Currency [0]" xfId="18"/>
    <x:cellStyle name="Percent" xfId="19"/>
    <x:cellStyle name="Comma" xfId="20"/>
    <x:cellStyle name="Comma [0]" xfId="21"/>
    <x:cellStyle name="Currency" xfId="22"/>
    <x:cellStyle name="Currency [0]" xfId="23"/>
    <x:cellStyle name="Normal" xfId="24"/>
    <x:cellStyle name="Percent" xfId="25"/>
  </x:cellStyles>
  <x:colors>
    <x:indexedColors>
      <x:rgbColor rgb="FF000000"/>
      <x:rgbColor rgb="FFFFFFFF"/>
      <x:rgbColor rgb="FFFF0000"/>
      <x:rgbColor rgb="FF00FF00"/>
      <x:rgbColor rgb="FF0000FF"/>
      <x:rgbColor rgb="FFFBF1E6"/>
      <x:rgbColor rgb="FFFF00FF"/>
      <x:rgbColor rgb="FF00FFFF"/>
      <x:rgbColor rgb="FF800000"/>
      <x:rgbColor rgb="FF50603A"/>
      <x:rgbColor rgb="FF000080"/>
      <x:rgbColor rgb="FF8A5A2B"/>
      <x:rgbColor rgb="FF800080"/>
      <x:rgbColor rgb="FF1E5F74"/>
      <x:rgbColor rgb="FFBFBFBF"/>
      <x:rgbColor rgb="FF5A6B7B"/>
      <x:rgbColor rgb="FFD6E4F7"/>
      <x:rgbColor rgb="FF595959"/>
      <x:rgbColor rgb="FFFFF3C4"/>
      <x:rgbColor rgb="FFE3F1EC"/>
      <x:rgbColor rgb="FF660066"/>
      <x:rgbColor rgb="FFFF8080"/>
      <x:rgbColor rgb="FF2E5E8C"/>
      <x:rgbColor rgb="FFC9D6E8"/>
      <x:rgbColor rgb="FF000080"/>
      <x:rgbColor rgb="FFFF00FF"/>
      <x:rgbColor rgb="FFEEF1E8"/>
      <x:rgbColor rgb="FF00FFFF"/>
      <x:rgbColor rgb="FF800080"/>
      <x:rgbColor rgb="FF800000"/>
      <x:rgbColor rgb="FF008080"/>
      <x:rgbColor rgb="FF0000FF"/>
      <x:rgbColor rgb="FF00CCFF"/>
      <x:rgbColor rgb="FFEAF0F4"/>
      <x:rgbColor rgb="FFE3F0D9"/>
      <x:rgbColor rgb="FFFCE8D5"/>
      <x:rgbColor rgb="FFC7CEDB"/>
      <x:rgbColor rgb="FFDCE6F1"/>
      <x:rgbColor rgb="FFEAE0F2"/>
      <x:rgbColor rgb="FFF3E9DC"/>
      <x:rgbColor rgb="FF5B6678"/>
      <x:rgbColor rgb="FF33CCCC"/>
      <x:rgbColor rgb="FF99CC00"/>
      <x:rgbColor rgb="FFFBF6EF"/>
      <x:rgbColor rgb="FFFF9900"/>
      <x:rgbColor rgb="FFB5651D"/>
      <x:rgbColor rgb="FF64748B"/>
      <x:rgbColor rgb="FFF4F7FA"/>
      <x:rgbColor rgb="FF1F3A5F"/>
      <x:rgbColor rgb="FF4A6B3D"/>
      <x:rgbColor rgb="FF2E4A5E"/>
      <x:rgbColor rgb="FF1E293B"/>
      <x:rgbColor rgb="FF8C3A2E"/>
      <x:rgbColor rgb="FF993366"/>
      <x:rgbColor rgb="FF1E2761"/>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db241c742e64773" /><Relationship Type="http://schemas.openxmlformats.org/officeDocument/2006/relationships/theme" Target="/xl/theme/theme1.xml" Id="R676b3d5403c2422d" /><Relationship Type="http://schemas.openxmlformats.org/officeDocument/2006/relationships/sharedStrings" Target="/xl/sharedStrings.xml" Id="R1929be9c4ae64635" /><Relationship Type="http://schemas.openxmlformats.org/officeDocument/2006/relationships/worksheet" Target="/xl/worksheets/sheet1.xml" Id="Rb61723e16b924162" /><Relationship Type="http://schemas.openxmlformats.org/officeDocument/2006/relationships/worksheet" Target="/xl/worksheets/sheet2.xml" Id="Re90da03587374ff1" /><Relationship Type="http://schemas.openxmlformats.org/officeDocument/2006/relationships/worksheet" Target="/xl/worksheets/sheet3.xml" Id="R8259f8a8f43e4a89" /><Relationship Type="http://schemas.openxmlformats.org/officeDocument/2006/relationships/worksheet" Target="/xl/worksheets/sheet4.xml" Id="Rb21f15cf380a4c62" /><Relationship Type="http://schemas.openxmlformats.org/officeDocument/2006/relationships/worksheet" Target="/xl/worksheets/sheet5.xml" Id="Rdb5619f4f0524140" /><Relationship Type="http://schemas.openxmlformats.org/officeDocument/2006/relationships/worksheet" Target="/xl/worksheets/sheet6.xml" Id="R31cfc4934efa4771" /><Relationship Type="http://schemas.openxmlformats.org/officeDocument/2006/relationships/worksheet" Target="/xl/worksheets/sheet7.xml" Id="R20960505585f474a" /><Relationship Type="http://schemas.openxmlformats.org/officeDocument/2006/relationships/worksheet" Target="/xl/worksheets/sheet8.xml" Id="R65d8346108e247e9" /><Relationship Type="http://schemas.openxmlformats.org/officeDocument/2006/relationships/worksheet" Target="/xl/worksheets/sheet9.xml" Id="Raae12422d2af4083" /><Relationship Type="http://schemas.openxmlformats.org/officeDocument/2006/relationships/worksheet" Target="/xl/worksheets/sheet10.xml" Id="R8af04ac8809b47c1" /><Relationship Type="http://schemas.openxmlformats.org/officeDocument/2006/relationships/worksheet" Target="/xl/worksheets/sheet11.xml" Id="Rde11513ecfb64b42" /><Relationship Type="http://schemas.openxmlformats.org/officeDocument/2006/relationships/worksheet" Target="/xl/worksheets/sheet12.xml" Id="R85fd69f064104e7d" /><Relationship Type="http://schemas.openxmlformats.org/officeDocument/2006/relationships/worksheet" Target="/xl/worksheets/sheet13.xml" Id="R55b7882a531b4784" /><Relationship Type="http://schemas.openxmlformats.org/officeDocument/2006/relationships/worksheet" Target="/xl/worksheets/sheet14.xml" Id="Reca6cc564b484273" /><Relationship Type="http://schemas.openxmlformats.org/officeDocument/2006/relationships/worksheet" Target="/xl/worksheets/sheet15.xml" Id="R171dc6905970429b"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0" t="0" r="0" b="0"/>
          </a:path>
          <a:tileRect l="0" t="0" r="0" b="0"/>
        </a:gradFill>
        <a:gradFill>
          <a:gsLst>
            <a:gs pos="0">
              <a:schemeClr val="phClr">
                <a:tint val="80000"/>
              </a:schemeClr>
            </a:gs>
            <a:gs pos="100000">
              <a:schemeClr val="phClr">
                <a:shade val="30000"/>
              </a:schemeClr>
            </a:gs>
          </a:gsLst>
          <a:path path="circle">
            <a:fillToRect l="0" t="0" r="0" b="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8.6796875" defaultRowHeight="14.25"/>
  <x:cols>
    <x:col min="1" max="1" width="2" style="1" hidden="0" customWidth="1"/>
    <x:col min="2" max="2" width="28" style="1" hidden="0" customWidth="1"/>
    <x:col min="3" max="3" width="95" style="1" hidden="0" customWidth="1"/>
  </x:cols>
  <x:sheetData>
    <x:row r="2" ht="21.75" hidden="0" customHeight="1">
      <x:c r="B2" s="2" t="s">
        <x:v>0</x:v>
      </x:c>
    </x:row>
    <x:row r="3" ht="15" hidden="0" customHeight="1">
      <x:c r="B3" s="3" t="s">
        <x:v>1</x:v>
      </x:c>
    </x:row>
    <x:row r="5" ht="15" hidden="0" customHeight="1">
      <x:c r="B5" s="4"/>
      <x:c r="C5" s="5"/>
    </x:row>
    <x:row r="6" ht="15" hidden="0" customHeight="1">
      <x:c r="B6" s="6" t="s">
        <x:v>2</x:v>
      </x:c>
    </x:row>
    <x:row r="7" ht="25.5" hidden="0" customHeight="1">
      <x:c r="B7" s="4" t="s">
        <x:v>3</x:v>
      </x:c>
      <x:c r="C7" s="5" t="s">
        <x:v>4</x:v>
      </x:c>
    </x:row>
    <x:row r="8" ht="15" hidden="0" customHeight="1">
      <x:c r="B8" s="4"/>
      <x:c r="C8" s="5"/>
    </x:row>
    <x:row r="9" ht="15" hidden="0" customHeight="1">
      <x:c r="B9" s="6" t="s">
        <x:v>5</x:v>
      </x:c>
    </x:row>
    <x:row r="10" ht="25.5" hidden="0" customHeight="1">
      <x:c r="B10" s="4" t="s">
        <x:v>6</x:v>
      </x:c>
      <x:c r="C10" s="5" t="s">
        <x:v>7</x:v>
      </x:c>
    </x:row>
    <x:row r="11" ht="38.25" hidden="0" customHeight="1">
      <x:c r="B11" s="4" t="s">
        <x:v>8</x:v>
      </x:c>
      <x:c r="C11" s="5" t="s">
        <x:v>9</x:v>
      </x:c>
    </x:row>
    <x:row r="12" ht="25.5" hidden="0" customHeight="1">
      <x:c r="B12" s="4" t="s">
        <x:v>10</x:v>
      </x:c>
      <x:c r="C12" s="5" t="s">
        <x:v>11</x:v>
      </x:c>
    </x:row>
    <x:row r="13" ht="15" hidden="0" customHeight="1">
      <x:c r="B13" s="4" t="s">
        <x:v>12</x:v>
      </x:c>
      <x:c r="C13" s="5" t="s">
        <x:v>13</x:v>
      </x:c>
    </x:row>
    <x:row r="14" ht="15" hidden="0" customHeight="1">
      <x:c r="B14" s="4" t="s">
        <x:v>14</x:v>
      </x:c>
      <x:c r="C14" s="5" t="s">
        <x:v>15</x:v>
      </x:c>
    </x:row>
    <x:row r="15" ht="15" hidden="0" customHeight="1">
      <x:c r="B15" s="4"/>
      <x:c r="C15" s="5"/>
    </x:row>
    <x:row r="16" ht="15" hidden="0" customHeight="1">
      <x:c r="B16" s="6" t="s">
        <x:v>16</x:v>
      </x:c>
    </x:row>
    <x:row r="17" ht="15" hidden="0" customHeight="1">
      <x:c r="B17" s="4" t="s">
        <x:v>17</x:v>
      </x:c>
      <x:c r="C17" s="5" t="s">
        <x:v>18</x:v>
      </x:c>
    </x:row>
    <x:row r="18" ht="15" hidden="0" customHeight="1">
      <x:c r="B18" s="4" t="s">
        <x:v>19</x:v>
      </x:c>
      <x:c r="C18" s="5" t="s">
        <x:v>20</x:v>
      </x:c>
    </x:row>
    <x:row r="19" ht="15" hidden="0" customHeight="1">
      <x:c r="B19" s="4" t="s">
        <x:v>21</x:v>
      </x:c>
      <x:c r="C19" s="5" t="s">
        <x:v>22</x:v>
      </x:c>
    </x:row>
    <x:row r="20" ht="15" hidden="0" customHeight="1">
      <x:c r="B20" s="4" t="s">
        <x:v>23</x:v>
      </x:c>
      <x:c r="C20" s="5" t="s">
        <x:v>24</x:v>
      </x:c>
    </x:row>
    <x:row r="21" ht="15" hidden="0" customHeight="1">
      <x:c r="B21" s="4" t="s">
        <x:v>25</x:v>
      </x:c>
      <x:c r="C21" s="5" t="s">
        <x:v>26</x:v>
      </x:c>
    </x:row>
    <x:row r="22" ht="15" hidden="0" customHeight="1">
      <x:c r="B22" s="4"/>
      <x:c r="C22" s="5"/>
    </x:row>
    <x:row r="23" ht="15" hidden="0" customHeight="1">
      <x:c r="B23" s="6" t="s">
        <x:v>27</x:v>
      </x:c>
    </x:row>
    <x:row r="24" ht="25.5" hidden="0" customHeight="1">
      <x:c r="B24" s="4" t="s">
        <x:v>28</x:v>
      </x:c>
      <x:c r="C24" s="5" t="s">
        <x:v>29</x:v>
      </x:c>
    </x:row>
    <x:row r="25" ht="15" hidden="0" customHeight="1">
      <x:c r="B25" s="4" t="s">
        <x:v>30</x:v>
      </x:c>
      <x:c r="C25" s="5" t="s">
        <x:v>31</x:v>
      </x:c>
    </x:row>
    <x:row r="26" ht="38.25" hidden="0" customHeight="1">
      <x:c r="B26" s="4" t="s">
        <x:v>32</x:v>
      </x:c>
      <x:c r="C26" s="5" t="s">
        <x:v>33</x:v>
      </x:c>
    </x:row>
    <x:row r="28" ht="15" hidden="0" customHeight="1">
      <x:c r="A28" s="7" t="s">
        <x:v>34</x:v>
      </x:c>
      <x:c r="B28" s="6"/>
    </x:row>
    <x:row r="29" ht="43.5" hidden="0" customHeight="1">
      <x:c r="B29" s="4" t="s">
        <x:v>35</x:v>
      </x:c>
      <x:c r="C29" s="5" t="s">
        <x:v>36</x:v>
      </x:c>
    </x:row>
    <x:row r="30" ht="43.5" hidden="0" customHeight="1">
      <x:c r="B30" s="4" t="s">
        <x:v>37</x:v>
      </x:c>
      <x:c r="C30" s="5" t="s">
        <x:v>38</x:v>
      </x:c>
    </x:row>
    <x:row r="31" ht="14.25" hidden="0" customHeight="1">
      <x:c r="A31" s="7" t="s">
        <x:v>39</x:v>
      </x:c>
      <x:c r="B31" s="6"/>
    </x:row>
    <x:row r="32" ht="38.25" hidden="0" customHeight="1">
      <x:c r="C32" s="5" t="s">
        <x:v>40</x:v>
      </x:c>
    </x:row>
    <x:row r="33" ht="14.25" hidden="0" customHeight="1">
      <x:c r="A33" s="7" t="s">
        <x:v>41</x:v>
      </x:c>
    </x:row>
    <x:row r="34" ht="14.25" hidden="0" customHeight="1">
      <x:c r="B34" s="4" t="s">
        <x:v>42</x:v>
      </x:c>
      <x:c r="C34" s="8" t="s">
        <x:v>43</x:v>
      </x:c>
      <x:c r="D34" s="8"/>
      <x:c r="E34" s="8"/>
      <x:c r="F34" s="8"/>
    </x:row>
    <x:row r="35" ht="25.5" hidden="0" customHeight="1">
      <x:c r="B35" s="4" t="s">
        <x:v>44</x:v>
      </x:c>
      <x:c r="C35" s="8" t="s">
        <x:v>45</x:v>
      </x:c>
      <x:c r="D35" s="8"/>
      <x:c r="E35" s="8"/>
      <x:c r="F35" s="8"/>
    </x:row>
    <x:row r="36" ht="15" hidden="0" customHeight="1">
      <x:c r="C36" s="9"/>
      <x:c r="D36" s="9"/>
      <x:c r="E36" s="9"/>
      <x:c r="F36" s="9"/>
    </x:row>
    <x:row r="37" ht="15" hidden="0" customHeight="1">
      <x:c r="B37" s="7" t="s">
        <x:v>46</x:v>
      </x:c>
      <x:c r="C37" s="10" t="s">
        <x:v>47</x:v>
      </x:c>
    </x:row>
    <x:row r="38" ht="15" hidden="0" customHeight="1">
      <x:c r="B38" s="7" t="s">
        <x:v>48</x:v>
      </x:c>
      <x:c r="C38" s="10" t="s">
        <x:v>49</x:v>
      </x:c>
    </x:row>
    <x:row r="39" ht="15" hidden="0" customHeight="1">
      <x:c r="B39" s="7" t="s">
        <x:v>50</x:v>
      </x:c>
      <x:c r="C39" s="10" t="s">
        <x:v>51</x:v>
      </x:c>
    </x:row>
    <x:row r="41" ht="14.25" hidden="0">
      <x:c r="A41" s="1" t="s">
        <x:v>52</x:v>
      </x:c>
    </x:row>
    <x:row r="42" ht="14.25" hidden="0">
      <x:c r="A42" s="1" t="s">
        <x:v>53</x:v>
      </x:c>
      <x:c r="B42" s="1" t="s">
        <x:v>54</x:v>
      </x:c>
    </x:row>
    <x:row r="43" ht="14.25" hidden="0">
      <x:c r="A43" s="1" t="s">
        <x:v>53</x:v>
      </x:c>
      <x:c r="B43" s="1" t="s">
        <x:v>55</x:v>
      </x:c>
    </x:row>
    <x:row r="44" ht="14.25" hidden="0">
      <x:c r="A44" s="1" t="s">
        <x:v>56</x:v>
      </x:c>
      <x:c r="B44" s="1" t="s">
        <x:v>57</x:v>
      </x:c>
    </x:row>
    <x:row r="45" ht="14.25" hidden="0">
      <x:c r="A45" s="1" t="s">
        <x:v>58</x:v>
      </x:c>
      <x:c r="B45" s="1" t="s">
        <x:v>59</x:v>
      </x:c>
    </x:row>
    <x:row r="47" ht="326.1000061035156" hidden="0">
      <x:c r="A47" s="11" t="s">
        <x:v>60</x:v>
      </x:c>
    </x:row>
    <x:row r="48" ht="169.39999389648438" hidden="0">
      <x:c r="A48" s="12" t="s">
        <x:v>61</x:v>
      </x:c>
      <x:c r="B48" s="5" t="s">
        <x:v>62</x:v>
      </x:c>
    </x:row>
    <x:row r="49" ht="292.5" hidden="0">
      <x:c r="A49" s="12" t="s">
        <x:v>63</x:v>
      </x:c>
      <x:c r="B49" s="5" t="s">
        <x:v>64</x:v>
      </x:c>
    </x:row>
    <x:row r="50" ht="158.1999969482422" hidden="0">
      <x:c r="A50" s="12" t="s">
        <x:v>65</x:v>
      </x:c>
      <x:c r="B50" s="5" t="s">
        <x:v>66</x:v>
      </x:c>
    </x:row>
    <x:row r="51" ht="236.5500030517578" hidden="0">
      <x:c r="A51" s="12" t="s">
        <x:v>67</x:v>
      </x:c>
      <x:c r="B51" s="5" t="s">
        <x:v>68</x:v>
      </x:c>
    </x:row>
  </x:sheetData>
  <x:mergeCells>
    <x:mergeCell ref="C34:F34"/>
    <x:mergeCell ref="C35:F35"/>
    <x:mergeCell ref="C36:F3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8.6796875" defaultRowHeight="15"/>
  <x:cols>
    <x:col min="1" max="1" width="20" style="1" hidden="0" customWidth="1"/>
    <x:col min="2" max="2" width="30" style="1" hidden="0" customWidth="1"/>
    <x:col min="3" max="3" width="70" style="1" hidden="0" customWidth="1"/>
    <x:col min="4" max="4" width="30" style="1" hidden="0" customWidth="1"/>
  </x:cols>
  <x:sheetData>
    <x:row r="1" ht="15.75" hidden="0" customHeight="1">
      <x:c r="A1" s="13" t="s">
        <x:v>69</x:v>
      </x:c>
      <x:c r="B1" s="13"/>
      <x:c r="C1" s="13"/>
      <x:c r="D1" s="13"/>
    </x:row>
    <x:row r="3" ht="15" hidden="0" customHeight="1">
      <x:c r="A3" s="14" t="s">
        <x:v>70</x:v>
      </x:c>
      <x:c r="B3" s="14" t="s">
        <x:v>71</x:v>
      </x:c>
      <x:c r="C3" s="14" t="s">
        <x:v>72</x:v>
      </x:c>
      <x:c r="D3" s="14" t="s">
        <x:v>73</x:v>
      </x:c>
    </x:row>
    <x:row r="4" ht="54" hidden="0" customHeight="1">
      <x:c r="A4" s="15" t="s">
        <x:v>74</x:v>
      </x:c>
      <x:c r="B4" s="15" t="s">
        <x:v>75</x:v>
      </x:c>
      <x:c r="C4" s="16" t="s">
        <x:v>76</x:v>
      </x:c>
      <x:c r="D4" s="16" t="s">
        <x:v>77</x:v>
      </x:c>
    </x:row>
    <x:row r="5" ht="54" hidden="0" customHeight="1">
      <x:c r="A5" s="17" t="s">
        <x:v>78</x:v>
      </x:c>
      <x:c r="B5" s="17" t="s">
        <x:v>79</x:v>
      </x:c>
      <x:c r="C5" s="18" t="s">
        <x:v>80</x:v>
      </x:c>
      <x:c r="D5" s="18" t="s">
        <x:v>81</x:v>
      </x:c>
    </x:row>
    <x:row r="6" ht="54" hidden="0" customHeight="1">
      <x:c r="A6" s="15" t="s">
        <x:v>82</x:v>
      </x:c>
      <x:c r="B6" s="15" t="s">
        <x:v>83</x:v>
      </x:c>
      <x:c r="C6" s="16" t="s">
        <x:v>84</x:v>
      </x:c>
      <x:c r="D6" s="16" t="s">
        <x:v>85</x:v>
      </x:c>
    </x:row>
    <x:row r="7" ht="54" hidden="0" customHeight="1">
      <x:c r="A7" s="17" t="s">
        <x:v>82</x:v>
      </x:c>
      <x:c r="B7" s="17" t="s">
        <x:v>86</x:v>
      </x:c>
      <x:c r="C7" s="18" t="s">
        <x:v>87</x:v>
      </x:c>
      <x:c r="D7" s="18" t="s">
        <x:v>88</x:v>
      </x:c>
    </x:row>
    <x:row r="8" ht="54" hidden="0" customHeight="1">
      <x:c r="A8" s="15" t="s">
        <x:v>82</x:v>
      </x:c>
      <x:c r="B8" s="15" t="s">
        <x:v>89</x:v>
      </x:c>
      <x:c r="C8" s="16" t="s">
        <x:v>90</x:v>
      </x:c>
      <x:c r="D8" s="16" t="s">
        <x:v>91</x:v>
      </x:c>
    </x:row>
    <x:row r="9" ht="54" hidden="0" customHeight="1">
      <x:c r="A9" s="17" t="s">
        <x:v>92</x:v>
      </x:c>
      <x:c r="B9" s="17" t="s">
        <x:v>93</x:v>
      </x:c>
      <x:c r="C9" s="18" t="s">
        <x:v>94</x:v>
      </x:c>
      <x:c r="D9" s="18" t="s">
        <x:v>95</x:v>
      </x:c>
    </x:row>
    <x:row r="10" ht="54" hidden="0" customHeight="1">
      <x:c r="A10" s="15" t="s">
        <x:v>92</x:v>
      </x:c>
      <x:c r="B10" s="15" t="s">
        <x:v>96</x:v>
      </x:c>
      <x:c r="C10" s="16" t="s">
        <x:v>97</x:v>
      </x:c>
      <x:c r="D10" s="16" t="s">
        <x:v>98</x:v>
      </x:c>
    </x:row>
    <x:row r="11" ht="54" hidden="0" customHeight="1">
      <x:c r="A11" s="17" t="s">
        <x:v>92</x:v>
      </x:c>
      <x:c r="B11" s="17" t="s">
        <x:v>99</x:v>
      </x:c>
      <x:c r="C11" s="18" t="s">
        <x:v>100</x:v>
      </x:c>
      <x:c r="D11" s="18" t="s">
        <x:v>101</x:v>
      </x:c>
    </x:row>
    <x:row r="12" ht="54" hidden="0" customHeight="1">
      <x:c r="A12" s="15" t="s">
        <x:v>92</x:v>
      </x:c>
      <x:c r="B12" s="15" t="s">
        <x:v>102</x:v>
      </x:c>
      <x:c r="C12" s="16" t="s">
        <x:v>103</x:v>
      </x:c>
      <x:c r="D12" s="16" t="s">
        <x:v>104</x:v>
      </x:c>
    </x:row>
    <x:row r="13" ht="54" hidden="0" customHeight="1">
      <x:c r="A13" s="17" t="s">
        <x:v>92</x:v>
      </x:c>
      <x:c r="B13" s="17" t="s">
        <x:v>105</x:v>
      </x:c>
      <x:c r="C13" s="18" t="s">
        <x:v>106</x:v>
      </x:c>
      <x:c r="D13" s="18" t="s">
        <x:v>107</x:v>
      </x:c>
    </x:row>
    <x:row r="14" ht="54" hidden="0" customHeight="1">
      <x:c r="A14" s="15" t="s">
        <x:v>108</x:v>
      </x:c>
      <x:c r="B14" s="15" t="s">
        <x:v>109</x:v>
      </x:c>
      <x:c r="C14" s="16" t="s">
        <x:v>110</x:v>
      </x:c>
      <x:c r="D14" s="16" t="s">
        <x:v>111</x:v>
      </x:c>
    </x:row>
  </x:sheetData>
  <x:mergeCells>
    <x:mergeCell ref="A1:D1"/>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8.6796875" defaultRowHeight="14.25"/>
  <x:cols>
    <x:col min="1" max="1" width="20" style="1" hidden="0" customWidth="1"/>
    <x:col min="2" max="2" width="24" style="1" hidden="0" customWidth="1"/>
    <x:col min="3" max="3" width="58" style="1" hidden="0" customWidth="1"/>
    <x:col min="4" max="4" width="18" style="1" hidden="0" customWidth="1"/>
    <x:col min="5" max="5" width="26" style="1" hidden="0" customWidth="1"/>
    <x:col min="6" max="6" width="40" style="1" hidden="0" customWidth="1"/>
  </x:cols>
  <x:sheetData>
    <x:row r="1" ht="15.75" hidden="0" customHeight="1">
      <x:c r="A1" s="13" t="s">
        <x:v>112</x:v>
      </x:c>
      <x:c r="B1" s="13"/>
      <x:c r="C1" s="13"/>
      <x:c r="D1" s="13"/>
      <x:c r="E1" s="13"/>
      <x:c r="F1" s="13"/>
    </x:row>
    <x:row r="2" ht="27.75" hidden="0" customHeight="1">
      <x:c r="A2" s="19" t="s">
        <x:v>113</x:v>
      </x:c>
      <x:c r="B2" s="19"/>
      <x:c r="C2" s="19"/>
      <x:c r="D2" s="19"/>
      <x:c r="E2" s="19"/>
      <x:c r="F2" s="19"/>
    </x:row>
    <x:row r="4" ht="15" hidden="0" customHeight="1">
      <x:c r="A4" s="20" t="s">
        <x:v>114</x:v>
      </x:c>
      <x:c r="B4" s="20" t="s">
        <x:v>115</x:v>
      </x:c>
      <x:c r="C4" s="20" t="s">
        <x:v>116</x:v>
      </x:c>
      <x:c r="D4" s="20" t="s">
        <x:v>117</x:v>
      </x:c>
      <x:c r="E4" s="20" t="s">
        <x:v>118</x:v>
      </x:c>
      <x:c r="F4" s="20" t="s">
        <x:v>119</x:v>
      </x:c>
    </x:row>
    <x:row r="5" ht="45.75" hidden="0" customHeight="1">
      <x:c r="A5" s="21" t="s">
        <x:v>120</x:v>
      </x:c>
      <x:c r="B5" s="22" t="s">
        <x:v>121</x:v>
      </x:c>
      <x:c r="C5" s="22"/>
      <x:c r="D5" s="22"/>
      <x:c r="E5" s="22"/>
      <x:c r="F5" s="21" t="s">
        <x:v>122</x:v>
      </x:c>
    </x:row>
    <x:row r="6" ht="42" hidden="0" customHeight="1">
      <x:c r="A6" s="23" t="s">
        <x:v>123</x:v>
      </x:c>
      <x:c r="B6" s="24" t="s">
        <x:v>83</x:v>
      </x:c>
      <x:c r="C6" s="24" t="s">
        <x:v>124</x:v>
      </x:c>
      <x:c r="D6" s="24" t="s">
        <x:v>21</x:v>
      </x:c>
      <x:c r="E6" s="24" t="s">
        <x:v>125</x:v>
      </x:c>
      <x:c r="F6" s="24"/>
    </x:row>
    <x:row r="7" ht="42" hidden="0" customHeight="1">
      <x:c r="A7" s="15" t="s">
        <x:v>126</x:v>
      </x:c>
      <x:c r="B7" s="16" t="s">
        <x:v>127</x:v>
      </x:c>
      <x:c r="C7" s="16" t="s">
        <x:v>128</x:v>
      </x:c>
      <x:c r="D7" s="16"/>
      <x:c r="E7" s="16" t="s">
        <x:v>129</x:v>
      </x:c>
      <x:c r="F7" s="16"/>
    </x:row>
    <x:row r="8" ht="42" hidden="0" customHeight="1">
      <x:c r="A8" s="23" t="s">
        <x:v>130</x:v>
      </x:c>
      <x:c r="B8" s="24" t="s">
        <x:v>127</x:v>
      </x:c>
      <x:c r="C8" s="24" t="s">
        <x:v>131</x:v>
      </x:c>
      <x:c r="D8" s="24"/>
      <x:c r="E8" s="24" t="s">
        <x:v>132</x:v>
      </x:c>
      <x:c r="F8" s="24"/>
    </x:row>
    <x:row r="9" ht="42" hidden="0" customHeight="1">
      <x:c r="A9" s="15" t="s">
        <x:v>133</x:v>
      </x:c>
      <x:c r="B9" s="16" t="s">
        <x:v>134</x:v>
      </x:c>
      <x:c r="C9" s="16" t="s">
        <x:v>135</x:v>
      </x:c>
      <x:c r="D9" s="16"/>
      <x:c r="E9" s="16" t="s">
        <x:v>136</x:v>
      </x:c>
      <x:c r="F9" s="16"/>
    </x:row>
    <x:row r="10" ht="45.75" hidden="0" customHeight="1">
      <x:c r="A10" s="21" t="s">
        <x:v>137</x:v>
      </x:c>
      <x:c r="B10" s="22" t="s">
        <x:v>138</x:v>
      </x:c>
      <x:c r="C10" s="22"/>
      <x:c r="D10" s="22"/>
      <x:c r="E10" s="22"/>
      <x:c r="F10" s="21" t="s">
        <x:v>139</x:v>
      </x:c>
    </x:row>
    <x:row r="11" ht="76.5" hidden="0" customHeight="1">
      <x:c r="A11" s="25" t="s">
        <x:v>123</x:v>
      </x:c>
      <x:c r="B11" s="26" t="s">
        <x:v>140</x:v>
      </x:c>
      <x:c r="C11" s="26" t="s">
        <x:v>141</x:v>
      </x:c>
      <x:c r="D11" s="26" t="s">
        <x:v>21</x:v>
      </x:c>
      <x:c r="E11" s="26" t="s">
        <x:v>142</x:v>
      </x:c>
      <x:c r="F11" s="26"/>
    </x:row>
    <x:row r="12" ht="42" hidden="0" customHeight="1">
      <x:c r="A12" s="15" t="s">
        <x:v>126</x:v>
      </x:c>
      <x:c r="B12" s="16" t="s">
        <x:v>143</x:v>
      </x:c>
      <x:c r="C12" s="16" t="s">
        <x:v>144</x:v>
      </x:c>
      <x:c r="D12" s="16"/>
      <x:c r="E12" s="16" t="s">
        <x:v>145</x:v>
      </x:c>
      <x:c r="F12" s="16"/>
    </x:row>
    <x:row r="13" ht="42" hidden="0" customHeight="1">
      <x:c r="A13" s="23" t="s">
        <x:v>130</x:v>
      </x:c>
      <x:c r="B13" s="24" t="s">
        <x:v>146</x:v>
      </x:c>
      <x:c r="C13" s="24" t="s">
        <x:v>147</x:v>
      </x:c>
      <x:c r="D13" s="24"/>
      <x:c r="E13" s="24" t="s">
        <x:v>148</x:v>
      </x:c>
      <x:c r="F13" s="24"/>
    </x:row>
    <x:row r="14" ht="42" hidden="0" customHeight="1">
      <x:c r="A14" s="15" t="s">
        <x:v>133</x:v>
      </x:c>
      <x:c r="B14" s="16" t="s">
        <x:v>149</x:v>
      </x:c>
      <x:c r="C14" s="16" t="s">
        <x:v>150</x:v>
      </x:c>
      <x:c r="D14" s="16"/>
      <x:c r="E14" s="16" t="s">
        <x:v>151</x:v>
      </x:c>
      <x:c r="F14" s="16"/>
    </x:row>
    <x:row r="15" ht="42" hidden="0" customHeight="1">
      <x:c r="A15" s="23" t="s">
        <x:v>152</x:v>
      </x:c>
      <x:c r="B15" s="24" t="s">
        <x:v>134</x:v>
      </x:c>
      <x:c r="C15" s="24" t="s">
        <x:v>153</x:v>
      </x:c>
      <x:c r="D15" s="24"/>
      <x:c r="E15" s="24" t="s">
        <x:v>154</x:v>
      </x:c>
      <x:c r="F15" s="24"/>
    </x:row>
    <x:row r="16" ht="45.75" hidden="0" customHeight="1">
      <x:c r="A16" s="21" t="s">
        <x:v>155</x:v>
      </x:c>
      <x:c r="B16" s="22" t="s">
        <x:v>156</x:v>
      </x:c>
      <x:c r="C16" s="22"/>
      <x:c r="D16" s="22"/>
      <x:c r="E16" s="22"/>
      <x:c r="F16" s="21" t="s">
        <x:v>157</x:v>
      </x:c>
    </x:row>
    <x:row r="17" ht="42" hidden="0" customHeight="1">
      <x:c r="A17" s="23" t="s">
        <x:v>123</x:v>
      </x:c>
      <x:c r="B17" s="24" t="s">
        <x:v>158</x:v>
      </x:c>
      <x:c r="C17" s="24" t="s">
        <x:v>159</x:v>
      </x:c>
      <x:c r="D17" s="24" t="s">
        <x:v>21</x:v>
      </x:c>
      <x:c r="E17" s="24" t="s">
        <x:v>160</x:v>
      </x:c>
      <x:c r="F17" s="24"/>
    </x:row>
    <x:row r="18" ht="42" hidden="0" customHeight="1">
      <x:c r="A18" s="15" t="s">
        <x:v>126</x:v>
      </x:c>
      <x:c r="B18" s="16" t="s">
        <x:v>161</x:v>
      </x:c>
      <x:c r="C18" s="16" t="s">
        <x:v>162</x:v>
      </x:c>
      <x:c r="D18" s="16"/>
      <x:c r="E18" s="16" t="s">
        <x:v>163</x:v>
      </x:c>
      <x:c r="F18" s="16"/>
    </x:row>
    <x:row r="19" ht="42" hidden="0" customHeight="1">
      <x:c r="A19" s="23" t="s">
        <x:v>130</x:v>
      </x:c>
      <x:c r="B19" s="24" t="s">
        <x:v>161</x:v>
      </x:c>
      <x:c r="C19" s="24" t="s">
        <x:v>164</x:v>
      </x:c>
      <x:c r="D19" s="24"/>
      <x:c r="E19" s="24" t="s">
        <x:v>165</x:v>
      </x:c>
      <x:c r="F19" s="24"/>
    </x:row>
    <x:row r="20" ht="42" hidden="0" customHeight="1">
      <x:c r="A20" s="15" t="s">
        <x:v>133</x:v>
      </x:c>
      <x:c r="B20" s="16" t="s">
        <x:v>96</x:v>
      </x:c>
      <x:c r="C20" s="16" t="s">
        <x:v>166</x:v>
      </x:c>
      <x:c r="D20" s="16"/>
      <x:c r="E20" s="16" t="s">
        <x:v>167</x:v>
      </x:c>
      <x:c r="F20" s="16"/>
    </x:row>
    <x:row r="21" ht="51" hidden="0" customHeight="1">
      <x:c r="A21" s="21" t="s">
        <x:v>168</x:v>
      </x:c>
      <x:c r="B21" s="22" t="s">
        <x:v>169</x:v>
      </x:c>
      <x:c r="C21" s="22"/>
      <x:c r="D21" s="22"/>
      <x:c r="E21" s="22"/>
      <x:c r="F21" s="21" t="s">
        <x:v>170</x:v>
      </x:c>
    </x:row>
    <x:row r="22" ht="51" hidden="0" customHeight="1">
      <x:c r="A22" s="25" t="s">
        <x:v>123</x:v>
      </x:c>
      <x:c r="B22" s="26" t="s">
        <x:v>146</x:v>
      </x:c>
      <x:c r="C22" s="26" t="s">
        <x:v>171</x:v>
      </x:c>
      <x:c r="D22" s="26" t="s">
        <x:v>21</x:v>
      </x:c>
      <x:c r="E22" s="26" t="s">
        <x:v>172</x:v>
      </x:c>
      <x:c r="F22" s="26"/>
    </x:row>
    <x:row r="23" ht="42" hidden="0" customHeight="1">
      <x:c r="A23" s="15" t="s">
        <x:v>126</x:v>
      </x:c>
      <x:c r="B23" s="16" t="s">
        <x:v>173</x:v>
      </x:c>
      <x:c r="C23" s="16" t="s">
        <x:v>174</x:v>
      </x:c>
      <x:c r="D23" s="16"/>
      <x:c r="E23" s="16" t="s">
        <x:v>175</x:v>
      </x:c>
      <x:c r="F23" s="16"/>
    </x:row>
    <x:row r="24" ht="42" hidden="0" customHeight="1">
      <x:c r="A24" s="23" t="s">
        <x:v>130</x:v>
      </x:c>
      <x:c r="B24" s="24" t="s">
        <x:v>176</x:v>
      </x:c>
      <x:c r="C24" s="24" t="s">
        <x:v>177</x:v>
      </x:c>
      <x:c r="D24" s="24"/>
      <x:c r="E24" s="24" t="s">
        <x:v>178</x:v>
      </x:c>
      <x:c r="F24" s="24"/>
    </x:row>
    <x:row r="25" ht="45.75" hidden="0" customHeight="1">
      <x:c r="A25" s="21" t="s">
        <x:v>179</x:v>
      </x:c>
      <x:c r="B25" s="22" t="s">
        <x:v>180</x:v>
      </x:c>
      <x:c r="C25" s="22"/>
      <x:c r="D25" s="22"/>
      <x:c r="E25" s="22"/>
      <x:c r="F25" s="21" t="s">
        <x:v>181</x:v>
      </x:c>
    </x:row>
    <x:row r="26" ht="42" hidden="0" customHeight="1">
      <x:c r="A26" s="23" t="s">
        <x:v>123</x:v>
      </x:c>
      <x:c r="B26" s="24" t="s">
        <x:v>146</x:v>
      </x:c>
      <x:c r="C26" s="24" t="s">
        <x:v>182</x:v>
      </x:c>
      <x:c r="D26" s="24" t="s">
        <x:v>183</x:v>
      </x:c>
      <x:c r="E26" s="24" t="s">
        <x:v>184</x:v>
      </x:c>
      <x:c r="F26" s="24"/>
    </x:row>
    <x:row r="27" ht="42" hidden="0" customHeight="1">
      <x:c r="A27" s="15" t="s">
        <x:v>126</x:v>
      </x:c>
      <x:c r="B27" s="16" t="s">
        <x:v>149</x:v>
      </x:c>
      <x:c r="C27" s="16" t="s">
        <x:v>185</x:v>
      </x:c>
      <x:c r="D27" s="16"/>
      <x:c r="E27" s="16" t="s">
        <x:v>186</x:v>
      </x:c>
      <x:c r="F27" s="16"/>
    </x:row>
    <x:row r="28" ht="42" hidden="0" customHeight="1">
      <x:c r="A28" s="23" t="s">
        <x:v>130</x:v>
      </x:c>
      <x:c r="B28" s="24" t="s">
        <x:v>134</x:v>
      </x:c>
      <x:c r="C28" s="24" t="s">
        <x:v>187</x:v>
      </x:c>
      <x:c r="D28" s="24"/>
      <x:c r="E28" s="24" t="s">
        <x:v>188</x:v>
      </x:c>
      <x:c r="F28" s="24"/>
    </x:row>
    <x:row r="29" ht="45.75" hidden="0" customHeight="1">
      <x:c r="A29" s="21" t="s">
        <x:v>189</x:v>
      </x:c>
      <x:c r="B29" s="22" t="s">
        <x:v>190</x:v>
      </x:c>
      <x:c r="C29" s="22"/>
      <x:c r="D29" s="22"/>
      <x:c r="E29" s="22"/>
      <x:c r="F29" s="21" t="s">
        <x:v>191</x:v>
      </x:c>
    </x:row>
    <x:row r="30" ht="42" hidden="0" customHeight="1">
      <x:c r="A30" s="23" t="s">
        <x:v>123</x:v>
      </x:c>
      <x:c r="B30" s="24" t="s">
        <x:v>192</x:v>
      </x:c>
      <x:c r="C30" s="24" t="s">
        <x:v>193</x:v>
      </x:c>
      <x:c r="D30" s="24" t="s">
        <x:v>21</x:v>
      </x:c>
      <x:c r="E30" s="24" t="s">
        <x:v>194</x:v>
      </x:c>
      <x:c r="F30" s="24"/>
    </x:row>
    <x:row r="31" ht="42" hidden="0" customHeight="1">
      <x:c r="A31" s="15" t="s">
        <x:v>126</x:v>
      </x:c>
      <x:c r="B31" s="16" t="s">
        <x:v>195</x:v>
      </x:c>
      <x:c r="C31" s="16" t="s">
        <x:v>196</x:v>
      </x:c>
      <x:c r="D31" s="16"/>
      <x:c r="E31" s="16" t="s">
        <x:v>197</x:v>
      </x:c>
      <x:c r="F31" s="16"/>
    </x:row>
    <x:row r="32" ht="42" hidden="0" customHeight="1">
      <x:c r="A32" s="23" t="s">
        <x:v>130</x:v>
      </x:c>
      <x:c r="B32" s="24" t="s">
        <x:v>173</x:v>
      </x:c>
      <x:c r="C32" s="24" t="s">
        <x:v>198</x:v>
      </x:c>
      <x:c r="D32" s="24"/>
      <x:c r="E32" s="24" t="s">
        <x:v>199</x:v>
      </x:c>
      <x:c r="F32" s="24"/>
    </x:row>
    <x:row r="33" ht="63.75" hidden="0" customHeight="1">
      <x:c r="A33" s="27" t="s">
        <x:v>133</x:v>
      </x:c>
      <x:c r="B33" s="28" t="s">
        <x:v>99</x:v>
      </x:c>
      <x:c r="C33" s="28" t="s">
        <x:v>200</x:v>
      </x:c>
      <x:c r="D33" s="28"/>
      <x:c r="E33" s="28" t="s">
        <x:v>201</x:v>
      </x:c>
      <x:c r="F33" s="28"/>
    </x:row>
    <x:row r="34" ht="42" hidden="0" customHeight="1">
      <x:c r="A34" s="23" t="s">
        <x:v>152</x:v>
      </x:c>
      <x:c r="B34" s="24" t="s">
        <x:v>202</x:v>
      </x:c>
      <x:c r="C34" s="24" t="s">
        <x:v>203</x:v>
      </x:c>
      <x:c r="D34" s="24"/>
      <x:c r="E34" s="24" t="s">
        <x:v>204</x:v>
      </x:c>
      <x:c r="F34" s="24"/>
    </x:row>
    <x:row r="35" ht="42" hidden="0" customHeight="1">
      <x:c r="A35" s="15" t="s">
        <x:v>205</x:v>
      </x:c>
      <x:c r="B35" s="16" t="s">
        <x:v>134</x:v>
      </x:c>
      <x:c r="C35" s="16" t="s">
        <x:v>206</x:v>
      </x:c>
      <x:c r="D35" s="16"/>
      <x:c r="E35" s="16" t="s">
        <x:v>207</x:v>
      </x:c>
      <x:c r="F35" s="16"/>
    </x:row>
    <x:row r="36" ht="45.75" hidden="0" customHeight="1">
      <x:c r="A36" s="21" t="s">
        <x:v>208</x:v>
      </x:c>
      <x:c r="B36" s="22" t="s">
        <x:v>209</x:v>
      </x:c>
      <x:c r="C36" s="22"/>
      <x:c r="D36" s="22"/>
      <x:c r="E36" s="22"/>
      <x:c r="F36" s="21" t="s">
        <x:v>210</x:v>
      </x:c>
    </x:row>
    <x:row r="37" ht="42" hidden="0" customHeight="1">
      <x:c r="A37" s="23" t="s">
        <x:v>123</x:v>
      </x:c>
      <x:c r="B37" s="24" t="s">
        <x:v>173</x:v>
      </x:c>
      <x:c r="C37" s="24" t="s">
        <x:v>211</x:v>
      </x:c>
      <x:c r="D37" s="24" t="s">
        <x:v>21</x:v>
      </x:c>
      <x:c r="E37" s="24" t="s">
        <x:v>212</x:v>
      </x:c>
      <x:c r="F37" s="24"/>
    </x:row>
    <x:row r="38" ht="42" hidden="0" customHeight="1">
      <x:c r="A38" s="15" t="s">
        <x:v>126</x:v>
      </x:c>
      <x:c r="B38" s="16" t="s">
        <x:v>99</x:v>
      </x:c>
      <x:c r="C38" s="16" t="s">
        <x:v>213</x:v>
      </x:c>
      <x:c r="D38" s="16"/>
      <x:c r="E38" s="16" t="s">
        <x:v>214</x:v>
      </x:c>
      <x:c r="F38" s="16"/>
    </x:row>
    <x:row r="39" ht="42" hidden="0" customHeight="1">
      <x:c r="A39" s="23" t="s">
        <x:v>130</x:v>
      </x:c>
      <x:c r="B39" s="24" t="s">
        <x:v>149</x:v>
      </x:c>
      <x:c r="C39" s="24" t="s">
        <x:v>215</x:v>
      </x:c>
      <x:c r="D39" s="24"/>
      <x:c r="E39" s="24" t="s">
        <x:v>216</x:v>
      </x:c>
      <x:c r="F39" s="24"/>
    </x:row>
    <x:row r="40" ht="42" hidden="0" customHeight="1">
      <x:c r="A40" s="15" t="s">
        <x:v>133</x:v>
      </x:c>
      <x:c r="B40" s="16" t="s">
        <x:v>146</x:v>
      </x:c>
      <x:c r="C40" s="16" t="s">
        <x:v>217</x:v>
      </x:c>
      <x:c r="D40" s="16"/>
      <x:c r="E40" s="16" t="s">
        <x:v>218</x:v>
      </x:c>
      <x:c r="F40" s="16"/>
    </x:row>
    <x:row r="41" ht="45.75" hidden="0" customHeight="1">
      <x:c r="A41" s="21" t="s">
        <x:v>219</x:v>
      </x:c>
      <x:c r="B41" s="22" t="s">
        <x:v>220</x:v>
      </x:c>
      <x:c r="C41" s="22"/>
      <x:c r="D41" s="22"/>
      <x:c r="E41" s="22"/>
      <x:c r="F41" s="21" t="s">
        <x:v>221</x:v>
      </x:c>
    </x:row>
    <x:row r="42" ht="42" hidden="0" customHeight="1">
      <x:c r="A42" s="23" t="s">
        <x:v>123</x:v>
      </x:c>
      <x:c r="B42" s="24" t="s">
        <x:v>149</x:v>
      </x:c>
      <x:c r="C42" s="24" t="s">
        <x:v>222</x:v>
      </x:c>
      <x:c r="D42" s="24" t="s">
        <x:v>223</x:v>
      </x:c>
      <x:c r="E42" s="24" t="s">
        <x:v>224</x:v>
      </x:c>
      <x:c r="F42" s="24"/>
    </x:row>
    <x:row r="43" ht="42" hidden="0" customHeight="1">
      <x:c r="A43" s="25" t="s">
        <x:v>126</x:v>
      </x:c>
      <x:c r="B43" s="26" t="s">
        <x:v>96</x:v>
      </x:c>
      <x:c r="C43" s="26" t="s">
        <x:v>225</x:v>
      </x:c>
      <x:c r="D43" s="26"/>
      <x:c r="E43" s="26" t="s">
        <x:v>226</x:v>
      </x:c>
      <x:c r="F43" s="26"/>
    </x:row>
    <x:row r="44" ht="42" hidden="0" customHeight="1">
      <x:c r="A44" s="23" t="s">
        <x:v>130</x:v>
      </x:c>
      <x:c r="B44" s="24" t="s">
        <x:v>146</x:v>
      </x:c>
      <x:c r="C44" s="24" t="s">
        <x:v>227</x:v>
      </x:c>
      <x:c r="D44" s="24"/>
      <x:c r="E44" s="24" t="s">
        <x:v>228</x:v>
      </x:c>
      <x:c r="F44" s="24"/>
    </x:row>
    <x:row r="45" ht="42" hidden="0" customHeight="1">
      <x:c r="A45" s="15" t="s">
        <x:v>133</x:v>
      </x:c>
      <x:c r="B45" s="16" t="s">
        <x:v>134</x:v>
      </x:c>
      <x:c r="C45" s="16" t="s">
        <x:v>229</x:v>
      </x:c>
      <x:c r="D45" s="16"/>
      <x:c r="E45" s="16" t="s">
        <x:v>230</x:v>
      </x:c>
      <x:c r="F45" s="16"/>
    </x:row>
    <x:row r="46" ht="45.75" hidden="0" customHeight="1">
      <x:c r="A46" s="21" t="s">
        <x:v>231</x:v>
      </x:c>
      <x:c r="B46" s="22" t="s">
        <x:v>232</x:v>
      </x:c>
      <x:c r="C46" s="22"/>
      <x:c r="D46" s="22"/>
      <x:c r="E46" s="22"/>
      <x:c r="F46" s="21" t="s">
        <x:v>233</x:v>
      </x:c>
    </x:row>
    <x:row r="47" ht="42" hidden="0" customHeight="1">
      <x:c r="A47" s="23" t="s">
        <x:v>123</x:v>
      </x:c>
      <x:c r="B47" s="24" t="s">
        <x:v>146</x:v>
      </x:c>
      <x:c r="C47" s="24" t="s">
        <x:v>234</x:v>
      </x:c>
      <x:c r="D47" s="24" t="s">
        <x:v>21</x:v>
      </x:c>
      <x:c r="E47" s="24" t="s">
        <x:v>235</x:v>
      </x:c>
      <x:c r="F47" s="24"/>
    </x:row>
    <x:row r="48" ht="42" hidden="0" customHeight="1">
      <x:c r="A48" s="15" t="s">
        <x:v>126</x:v>
      </x:c>
      <x:c r="B48" s="16" t="s">
        <x:v>236</x:v>
      </x:c>
      <x:c r="C48" s="16" t="s">
        <x:v>237</x:v>
      </x:c>
      <x:c r="D48" s="16"/>
      <x:c r="E48" s="16" t="s">
        <x:v>238</x:v>
      </x:c>
      <x:c r="F48" s="16"/>
    </x:row>
    <x:row r="49" ht="42" hidden="0" customHeight="1">
      <x:c r="A49" s="23" t="s">
        <x:v>130</x:v>
      </x:c>
      <x:c r="B49" s="24" t="s">
        <x:v>239</x:v>
      </x:c>
      <x:c r="C49" s="24" t="s">
        <x:v>240</x:v>
      </x:c>
      <x:c r="D49" s="24"/>
      <x:c r="E49" s="24" t="s">
        <x:v>241</x:v>
      </x:c>
      <x:c r="F49" s="24"/>
    </x:row>
    <x:row r="50" ht="42" hidden="0" customHeight="1">
      <x:c r="A50" s="15" t="s">
        <x:v>133</x:v>
      </x:c>
      <x:c r="B50" s="16" t="s">
        <x:v>149</x:v>
      </x:c>
      <x:c r="C50" s="16" t="s">
        <x:v>242</x:v>
      </x:c>
      <x:c r="D50" s="16"/>
      <x:c r="E50" s="16" t="s">
        <x:v>243</x:v>
      </x:c>
      <x:c r="F50" s="16"/>
    </x:row>
    <x:row r="51" ht="45.75" hidden="0" customHeight="1">
      <x:c r="A51" s="21" t="s">
        <x:v>244</x:v>
      </x:c>
      <x:c r="B51" s="22" t="s">
        <x:v>245</x:v>
      </x:c>
      <x:c r="C51" s="22"/>
      <x:c r="D51" s="22"/>
      <x:c r="E51" s="22"/>
      <x:c r="F51" s="21" t="s">
        <x:v>246</x:v>
      </x:c>
    </x:row>
    <x:row r="52" ht="42" hidden="0" customHeight="1">
      <x:c r="A52" s="23" t="s">
        <x:v>123</x:v>
      </x:c>
      <x:c r="B52" s="24" t="s">
        <x:v>149</x:v>
      </x:c>
      <x:c r="C52" s="24" t="s">
        <x:v>247</x:v>
      </x:c>
      <x:c r="D52" s="24" t="s">
        <x:v>248</x:v>
      </x:c>
      <x:c r="E52" s="24" t="s">
        <x:v>249</x:v>
      </x:c>
      <x:c r="F52" s="24"/>
    </x:row>
    <x:row r="53" ht="42" hidden="0" customHeight="1">
      <x:c r="A53" s="15" t="s">
        <x:v>126</x:v>
      </x:c>
      <x:c r="B53" s="16" t="s">
        <x:v>239</x:v>
      </x:c>
      <x:c r="C53" s="16" t="s">
        <x:v>250</x:v>
      </x:c>
      <x:c r="D53" s="16"/>
      <x:c r="E53" s="16" t="s">
        <x:v>251</x:v>
      </x:c>
      <x:c r="F53" s="16"/>
    </x:row>
    <x:row r="54" ht="42" hidden="0" customHeight="1">
      <x:c r="A54" s="23" t="s">
        <x:v>130</x:v>
      </x:c>
      <x:c r="B54" s="24" t="s">
        <x:v>252</x:v>
      </x:c>
      <x:c r="C54" s="24" t="s">
        <x:v>253</x:v>
      </x:c>
      <x:c r="D54" s="24"/>
      <x:c r="E54" s="24" t="s">
        <x:v>254</x:v>
      </x:c>
      <x:c r="F54" s="24"/>
    </x:row>
    <x:row r="55" ht="42" hidden="0" customHeight="1">
      <x:c r="A55" s="15" t="s">
        <x:v>133</x:v>
      </x:c>
      <x:c r="B55" s="16" t="s">
        <x:v>149</x:v>
      </x:c>
      <x:c r="C55" s="16" t="s">
        <x:v>255</x:v>
      </x:c>
      <x:c r="D55" s="16"/>
      <x:c r="E55" s="16" t="s">
        <x:v>256</x:v>
      </x:c>
      <x:c r="F55" s="16"/>
    </x:row>
    <x:row r="56" ht="42" hidden="0" customHeight="1">
      <x:c r="A56" s="23" t="s">
        <x:v>152</x:v>
      </x:c>
      <x:c r="B56" s="24" t="s">
        <x:v>134</x:v>
      </x:c>
      <x:c r="C56" s="24" t="s">
        <x:v>257</x:v>
      </x:c>
      <x:c r="D56" s="24"/>
      <x:c r="E56" s="24" t="s">
        <x:v>258</x:v>
      </x:c>
      <x:c r="F56" s="24"/>
    </x:row>
    <x:row r="57" ht="38.25" hidden="0" customHeight="1">
      <x:c r="A57" s="21" t="s">
        <x:v>259</x:v>
      </x:c>
      <x:c r="B57" s="29" t="s">
        <x:v>260</x:v>
      </x:c>
      <x:c r="C57" s="29"/>
      <x:c r="D57" s="29"/>
      <x:c r="E57" s="29"/>
      <x:c r="F57" s="21" t="s">
        <x:v>261</x:v>
      </x:c>
    </x:row>
    <x:row r="58" ht="25.5" hidden="0" customHeight="1">
      <x:c r="A58" s="23" t="s">
        <x:v>123</x:v>
      </x:c>
      <x:c r="B58" s="24" t="s">
        <x:v>262</x:v>
      </x:c>
      <x:c r="C58" s="24" t="s">
        <x:v>263</x:v>
      </x:c>
      <x:c r="D58" s="24" t="s">
        <x:v>264</x:v>
      </x:c>
      <x:c r="E58" s="24" t="s">
        <x:v>265</x:v>
      </x:c>
      <x:c r="F58" s="24"/>
    </x:row>
    <x:row r="59" ht="25.5" hidden="0" customHeight="1">
      <x:c r="A59" s="23" t="s">
        <x:v>126</x:v>
      </x:c>
      <x:c r="B59" s="24" t="s">
        <x:v>266</x:v>
      </x:c>
      <x:c r="C59" s="24" t="s">
        <x:v>267</x:v>
      </x:c>
      <x:c r="D59" s="24" t="s">
        <x:v>268</x:v>
      </x:c>
      <x:c r="E59" s="24" t="s">
        <x:v>269</x:v>
      </x:c>
      <x:c r="F59" s="24"/>
    </x:row>
    <x:row r="60" ht="25.5" hidden="0" customHeight="1">
      <x:c r="A60" s="23" t="s">
        <x:v>130</x:v>
      </x:c>
      <x:c r="B60" s="24" t="s">
        <x:v>127</x:v>
      </x:c>
      <x:c r="C60" s="24" t="s">
        <x:v>270</x:v>
      </x:c>
      <x:c r="D60" s="24" t="s">
        <x:v>271</x:v>
      </x:c>
      <x:c r="E60" s="24" t="s">
        <x:v>272</x:v>
      </x:c>
      <x:c r="F60" s="24"/>
    </x:row>
    <x:row r="61" ht="25.5" hidden="0" customHeight="1">
      <x:c r="A61" s="23" t="s">
        <x:v>133</x:v>
      </x:c>
      <x:c r="B61" s="24" t="s">
        <x:v>273</x:v>
      </x:c>
      <x:c r="C61" s="24" t="s">
        <x:v>274</x:v>
      </x:c>
      <x:c r="D61" s="24" t="s">
        <x:v>23</x:v>
      </x:c>
      <x:c r="E61" s="24" t="s">
        <x:v>275</x:v>
      </x:c>
      <x:c r="F61" s="24"/>
    </x:row>
    <x:row r="62" ht="25.5" hidden="0" customHeight="1">
      <x:c r="A62" s="23" t="s">
        <x:v>152</x:v>
      </x:c>
      <x:c r="B62" s="24" t="s">
        <x:v>134</x:v>
      </x:c>
      <x:c r="C62" s="24" t="s">
        <x:v>276</x:v>
      </x:c>
      <x:c r="D62" s="24" t="s">
        <x:v>23</x:v>
      </x:c>
      <x:c r="E62" s="24" t="s">
        <x:v>188</x:v>
      </x:c>
      <x:c r="F62" s="24"/>
    </x:row>
    <x:row r="65" ht="14.25" hidden="0" customHeight="1">
      <x:c r="A65" s="5" t="s">
        <x:v>277</x:v>
      </x:c>
    </x:row>
    <x:row r="66" ht="14.25" hidden="0" customHeight="1">
      <x:c r="A66" s="30" t="s">
        <x:v>278</x:v>
      </x:c>
    </x:row>
    <x:row r="67" ht="14.25" hidden="0" customHeight="1">
      <x:c r="A67" s="30" t="s">
        <x:v>279</x:v>
      </x:c>
    </x:row>
    <x:row r="68" ht="14.25" hidden="0" customHeight="1">
      <x:c r="A68" s="30" t="s">
        <x:v>280</x:v>
      </x:c>
    </x:row>
    <x:row r="69" ht="14.25" hidden="0" customHeight="1"/>
    <x:row r="70" ht="14.25" hidden="0" customHeight="1"/>
    <x:row r="71" ht="14.25" hidden="0" customHeight="1"/>
  </x:sheetData>
  <x:mergeCells>
    <x:mergeCell ref="A1:F1"/>
    <x:mergeCell ref="A2:F2"/>
    <x:mergeCell ref="B5:E5"/>
    <x:mergeCell ref="B10:E10"/>
    <x:mergeCell ref="B16:E16"/>
    <x:mergeCell ref="B21:E21"/>
    <x:mergeCell ref="B25:E25"/>
    <x:mergeCell ref="B29:E29"/>
    <x:mergeCell ref="B36:E36"/>
    <x:mergeCell ref="B41:E41"/>
    <x:mergeCell ref="B46:E46"/>
    <x:mergeCell ref="B51:E51"/>
    <x:mergeCell ref="B57:E5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8.6796875" defaultRowHeight="15"/>
  <x:cols>
    <x:col min="1" max="1" width="28" style="1" hidden="0" customWidth="1"/>
    <x:col min="2" max="2" width="10" style="1" hidden="0" customWidth="1"/>
    <x:col min="3" max="3" width="34" style="1" hidden="0" customWidth="1"/>
    <x:col min="4" max="4" width="60" style="1" hidden="0" customWidth="1"/>
    <x:col min="5" max="5" width="24" style="1" hidden="0" customWidth="1"/>
    <x:col min="6" max="6" width="18" style="1" hidden="0" customWidth="1"/>
    <x:col min="7" max="7" width="12" style="1" hidden="0" customWidth="1"/>
    <x:col min="8" max="8" width="26" style="1" hidden="0" customWidth="1"/>
    <x:col min="9" max="10" width="13" style="1" hidden="0" customWidth="1"/>
    <x:col min="11" max="11" width="30" style="1" hidden="0" customWidth="1"/>
    <x:col min="12" max="12" width="16" style="1" hidden="0" customWidth="1"/>
    <x:col min="13" max="14" width="42" style="1" hidden="0" customWidth="1"/>
    <x:col min="15" max="16" width="18" style="1" hidden="0" customWidth="1"/>
    <x:col min="17" max="17" width="62" style="1" hidden="0" customWidth="1"/>
    <x:col min="18" max="18" width="52" style="1" hidden="0" customWidth="1"/>
    <x:col min="19" max="20" width="62" style="1" hidden="0" customWidth="1"/>
    <x:col min="21" max="21" width="56" style="1" hidden="0" customWidth="1"/>
    <x:col min="22" max="22" width="26" style="1" hidden="0" customWidth="1"/>
  </x:cols>
  <x:sheetData>
    <x:row r="1" ht="15.75" hidden="0" customHeight="1">
      <x:c r="A1" s="13" t="s">
        <x:v>281</x:v>
      </x:c>
      <x:c r="B1" s="13"/>
      <x:c r="C1" s="13"/>
      <x:c r="D1" s="13"/>
    </x:row>
    <x:row r="3" ht="23.25" hidden="0" customHeight="1">
      <x:c r="A3" s="31" t="s">
        <x:v>282</x:v>
      </x:c>
      <x:c r="B3" s="31" t="s">
        <x:v>283</x:v>
      </x:c>
      <x:c r="C3" s="31" t="s">
        <x:v>284</x:v>
      </x:c>
      <x:c r="D3" s="31" t="s">
        <x:v>285</x:v>
      </x:c>
      <x:c r="E3" s="31" t="s">
        <x:v>286</x:v>
      </x:c>
      <x:c r="F3" s="31" t="s">
        <x:v>287</x:v>
      </x:c>
      <x:c r="G3" s="31" t="s">
        <x:v>288</x:v>
      </x:c>
      <x:c r="H3" s="31" t="s">
        <x:v>289</x:v>
      </x:c>
      <x:c r="I3" s="31" t="s">
        <x:v>290</x:v>
      </x:c>
      <x:c r="J3" s="31" t="s">
        <x:v>291</x:v>
      </x:c>
      <x:c r="K3" s="31" t="s">
        <x:v>292</x:v>
      </x:c>
      <x:c r="L3" s="31" t="s">
        <x:v>293</x:v>
      </x:c>
      <x:c r="M3" s="31" t="s">
        <x:v>294</x:v>
      </x:c>
      <x:c r="N3" s="31" t="s">
        <x:v>295</x:v>
      </x:c>
      <x:c r="O3" s="32" t="s">
        <x:v>296</x:v>
      </x:c>
      <x:c r="P3" s="32" t="s">
        <x:v>297</x:v>
      </x:c>
      <x:c r="Q3" s="32" t="s">
        <x:v>298</x:v>
      </x:c>
      <x:c r="R3" s="32" t="s">
        <x:v>299</x:v>
      </x:c>
      <x:c r="S3" s="32" t="s">
        <x:v>300</x:v>
      </x:c>
      <x:c r="T3" s="32" t="s">
        <x:v>301</x:v>
      </x:c>
      <x:c r="U3" s="32" t="s">
        <x:v>302</x:v>
      </x:c>
      <x:c r="V3" s="32" t="s">
        <x:v>303</x:v>
      </x:c>
    </x:row>
    <x:row r="4" ht="297" hidden="0" customHeight="1">
      <x:c r="A4" s="16" t="s">
        <x:v>304</x:v>
      </x:c>
      <x:c r="B4" s="15" t="s">
        <x:v>305</x:v>
      </x:c>
      <x:c r="C4" s="16" t="s">
        <x:v>306</x:v>
      </x:c>
      <x:c r="D4" s="16" t="s">
        <x:v>307</x:v>
      </x:c>
      <x:c r="E4" s="16" t="s">
        <x:v>308</x:v>
      </x:c>
      <x:c r="F4" s="33" t="s">
        <x:v>309</x:v>
      </x:c>
      <x:c r="G4" s="33"/>
      <x:c r="H4" s="16"/>
      <x:c r="I4" s="16"/>
      <x:c r="J4" s="16"/>
      <x:c r="K4" s="16"/>
      <x:c r="L4" s="16"/>
      <x:c r="M4" s="34" t="s">
        <x:v>310</x:v>
      </x:c>
      <x:c r="N4" s="34" t="s">
        <x:v>311</x:v>
      </x:c>
      <x:c r="O4" s="5" t="s">
        <x:v>312</x:v>
      </x:c>
      <x:c r="P4" s="5" t="s">
        <x:v>312</x:v>
      </x:c>
      <x:c r="Q4" s="5" t="s">
        <x:v>313</x:v>
      </x:c>
      <x:c r="R4" s="5" t="s">
        <x:v>314</x:v>
      </x:c>
      <x:c r="S4" s="5" t="s">
        <x:v>315</x:v>
      </x:c>
      <x:c r="T4" s="5" t="s">
        <x:v>316</x:v>
      </x:c>
      <x:c r="U4" s="5" t="s">
        <x:v>317</x:v>
      </x:c>
      <x:c r="V4" s="5" t="s">
        <x:v>318</x:v>
      </x:c>
    </x:row>
    <x:row r="5" ht="300" hidden="0" customHeight="1">
      <x:c r="A5" s="35" t="s">
        <x:v>304</x:v>
      </x:c>
      <x:c r="B5" s="36" t="s">
        <x:v>319</x:v>
      </x:c>
      <x:c r="C5" s="35" t="s">
        <x:v>320</x:v>
      </x:c>
      <x:c r="D5" s="35" t="s">
        <x:v>321</x:v>
      </x:c>
      <x:c r="E5" s="35" t="s">
        <x:v>308</x:v>
      </x:c>
      <x:c r="F5" s="37" t="s">
        <x:v>309</x:v>
      </x:c>
      <x:c r="G5" s="37"/>
      <x:c r="H5" s="35"/>
      <x:c r="I5" s="35"/>
      <x:c r="J5" s="35"/>
      <x:c r="K5" s="35"/>
      <x:c r="L5" s="16"/>
      <x:c r="M5" s="34" t="s">
        <x:v>322</x:v>
      </x:c>
      <x:c r="N5" s="34" t="s">
        <x:v>311</x:v>
      </x:c>
      <x:c r="O5" s="5" t="s">
        <x:v>312</x:v>
      </x:c>
      <x:c r="P5" s="5" t="s">
        <x:v>312</x:v>
      </x:c>
      <x:c r="Q5" s="5" t="s">
        <x:v>323</x:v>
      </x:c>
      <x:c r="R5" s="5" t="s">
        <x:v>314</x:v>
      </x:c>
      <x:c r="S5" s="5" t="s">
        <x:v>315</x:v>
      </x:c>
      <x:c r="T5" s="5" t="s">
        <x:v>316</x:v>
      </x:c>
      <x:c r="U5" s="5" t="s">
        <x:v>317</x:v>
      </x:c>
      <x:c r="V5" s="5" t="s">
        <x:v>318</x:v>
      </x:c>
    </x:row>
    <x:row r="6" ht="300" hidden="0" customHeight="1">
      <x:c r="A6" s="16" t="s">
        <x:v>304</x:v>
      </x:c>
      <x:c r="B6" s="15" t="s">
        <x:v>324</x:v>
      </x:c>
      <x:c r="C6" s="16" t="s">
        <x:v>325</x:v>
      </x:c>
      <x:c r="D6" s="16" t="s">
        <x:v>326</x:v>
      </x:c>
      <x:c r="E6" s="16" t="s">
        <x:v>308</x:v>
      </x:c>
      <x:c r="F6" s="33" t="s">
        <x:v>309</x:v>
      </x:c>
      <x:c r="G6" s="33"/>
      <x:c r="H6" s="16"/>
      <x:c r="I6" s="16"/>
      <x:c r="J6" s="16"/>
      <x:c r="K6" s="16"/>
      <x:c r="L6" s="16" t="s">
        <x:v>327</x:v>
      </x:c>
      <x:c r="M6" s="34" t="s">
        <x:v>328</x:v>
      </x:c>
      <x:c r="N6" s="34" t="s">
        <x:v>311</x:v>
      </x:c>
      <x:c r="O6" s="5" t="s">
        <x:v>312</x:v>
      </x:c>
      <x:c r="P6" s="5" t="s">
        <x:v>312</x:v>
      </x:c>
      <x:c r="Q6" s="5" t="s">
        <x:v>329</x:v>
      </x:c>
      <x:c r="R6" s="5" t="s">
        <x:v>314</x:v>
      </x:c>
      <x:c r="S6" s="5" t="s">
        <x:v>315</x:v>
      </x:c>
      <x:c r="T6" s="5" t="s">
        <x:v>316</x:v>
      </x:c>
      <x:c r="U6" s="5" t="s">
        <x:v>317</x:v>
      </x:c>
      <x:c r="V6" s="5" t="s">
        <x:v>318</x:v>
      </x:c>
    </x:row>
    <x:row r="7" ht="300" hidden="0" customHeight="1">
      <x:c r="A7" s="35" t="s">
        <x:v>330</x:v>
      </x:c>
      <x:c r="B7" s="36" t="s">
        <x:v>331</x:v>
      </x:c>
      <x:c r="C7" s="35" t="s">
        <x:v>332</x:v>
      </x:c>
      <x:c r="D7" s="35" t="s">
        <x:v>333</x:v>
      </x:c>
      <x:c r="E7" s="35" t="s">
        <x:v>127</x:v>
      </x:c>
      <x:c r="F7" s="37" t="s">
        <x:v>309</x:v>
      </x:c>
      <x:c r="G7" s="37"/>
      <x:c r="H7" s="35"/>
      <x:c r="I7" s="35"/>
      <x:c r="J7" s="35"/>
      <x:c r="K7" s="35"/>
      <x:c r="L7" s="16"/>
      <x:c r="M7" s="34" t="s">
        <x:v>334</x:v>
      </x:c>
      <x:c r="N7" s="34" t="s">
        <x:v>335</x:v>
      </x:c>
      <x:c r="O7" s="5" t="s">
        <x:v>312</x:v>
      </x:c>
      <x:c r="P7" s="5" t="s">
        <x:v>312</x:v>
      </x:c>
      <x:c r="Q7" s="5" t="s">
        <x:v>336</x:v>
      </x:c>
      <x:c r="R7" s="5" t="s">
        <x:v>337</x:v>
      </x:c>
      <x:c r="S7" s="5" t="s">
        <x:v>338</x:v>
      </x:c>
      <x:c r="T7" s="5" t="s">
        <x:v>339</x:v>
      </x:c>
      <x:c r="U7" s="5" t="s">
        <x:v>340</x:v>
      </x:c>
      <x:c r="V7" s="5" t="s">
        <x:v>341</x:v>
      </x:c>
    </x:row>
    <x:row r="8" ht="300" hidden="0" customHeight="1">
      <x:c r="A8" s="16" t="s">
        <x:v>330</x:v>
      </x:c>
      <x:c r="B8" s="15" t="s">
        <x:v>342</x:v>
      </x:c>
      <x:c r="C8" s="16" t="s">
        <x:v>343</x:v>
      </x:c>
      <x:c r="D8" s="16" t="s">
        <x:v>344</x:v>
      </x:c>
      <x:c r="E8" s="16" t="s">
        <x:v>127</x:v>
      </x:c>
      <x:c r="F8" s="33" t="s">
        <x:v>309</x:v>
      </x:c>
      <x:c r="G8" s="33"/>
      <x:c r="H8" s="16"/>
      <x:c r="I8" s="16"/>
      <x:c r="J8" s="16"/>
      <x:c r="K8" s="16"/>
      <x:c r="L8" s="16" t="s">
        <x:v>345</x:v>
      </x:c>
      <x:c r="M8" s="34" t="s">
        <x:v>346</x:v>
      </x:c>
      <x:c r="N8" s="34" t="s">
        <x:v>347</x:v>
      </x:c>
      <x:c r="O8" s="5" t="s">
        <x:v>312</x:v>
      </x:c>
      <x:c r="P8" s="5" t="s">
        <x:v>312</x:v>
      </x:c>
      <x:c r="Q8" s="5" t="s">
        <x:v>348</x:v>
      </x:c>
      <x:c r="R8" s="5" t="s">
        <x:v>349</x:v>
      </x:c>
      <x:c r="S8" s="5" t="s">
        <x:v>350</x:v>
      </x:c>
      <x:c r="T8" s="5" t="s">
        <x:v>351</x:v>
      </x:c>
      <x:c r="U8" s="5" t="s">
        <x:v>352</x:v>
      </x:c>
      <x:c r="V8" s="5" t="s">
        <x:v>353</x:v>
      </x:c>
    </x:row>
    <x:row r="9" ht="297" hidden="0" customHeight="1">
      <x:c r="A9" s="35" t="s">
        <x:v>354</x:v>
      </x:c>
      <x:c r="B9" s="36" t="s">
        <x:v>355</x:v>
      </x:c>
      <x:c r="C9" s="35" t="s">
        <x:v>356</x:v>
      </x:c>
      <x:c r="D9" s="35" t="s">
        <x:v>357</x:v>
      </x:c>
      <x:c r="E9" s="35" t="s">
        <x:v>358</x:v>
      </x:c>
      <x:c r="F9" s="37" t="s">
        <x:v>309</x:v>
      </x:c>
      <x:c r="G9" s="37"/>
      <x:c r="H9" s="35"/>
      <x:c r="I9" s="35"/>
      <x:c r="J9" s="35"/>
      <x:c r="K9" s="35"/>
      <x:c r="L9" s="16" t="s">
        <x:v>359</x:v>
      </x:c>
      <x:c r="M9" s="34" t="s">
        <x:v>360</x:v>
      </x:c>
      <x:c r="N9" s="34" t="s">
        <x:v>361</x:v>
      </x:c>
      <x:c r="O9" s="5" t="s">
        <x:v>312</x:v>
      </x:c>
      <x:c r="P9" s="5" t="s">
        <x:v>312</x:v>
      </x:c>
      <x:c r="Q9" s="5" t="s">
        <x:v>362</x:v>
      </x:c>
      <x:c r="R9" s="5" t="s">
        <x:v>363</x:v>
      </x:c>
      <x:c r="S9" s="5" t="s">
        <x:v>364</x:v>
      </x:c>
      <x:c r="T9" s="5" t="s">
        <x:v>365</x:v>
      </x:c>
      <x:c r="U9" s="5" t="s">
        <x:v>366</x:v>
      </x:c>
      <x:c r="V9" s="5" t="s">
        <x:v>367</x:v>
      </x:c>
    </x:row>
    <x:row r="10" ht="297" hidden="0" customHeight="1">
      <x:c r="A10" s="16" t="s">
        <x:v>354</x:v>
      </x:c>
      <x:c r="B10" s="15" t="s">
        <x:v>368</x:v>
      </x:c>
      <x:c r="C10" s="16" t="s">
        <x:v>369</x:v>
      </x:c>
      <x:c r="D10" s="16" t="s">
        <x:v>370</x:v>
      </x:c>
      <x:c r="E10" s="16" t="s">
        <x:v>358</x:v>
      </x:c>
      <x:c r="F10" s="33" t="s">
        <x:v>309</x:v>
      </x:c>
      <x:c r="G10" s="33"/>
      <x:c r="H10" s="16"/>
      <x:c r="I10" s="16"/>
      <x:c r="J10" s="16"/>
      <x:c r="K10" s="16"/>
      <x:c r="L10" s="16"/>
      <x:c r="M10" s="34" t="s">
        <x:v>371</x:v>
      </x:c>
      <x:c r="N10" s="34" t="s">
        <x:v>372</x:v>
      </x:c>
      <x:c r="O10" s="5" t="s">
        <x:v>312</x:v>
      </x:c>
      <x:c r="P10" s="5" t="s">
        <x:v>312</x:v>
      </x:c>
      <x:c r="Q10" s="5" t="s">
        <x:v>373</x:v>
      </x:c>
      <x:c r="R10" s="5" t="s">
        <x:v>374</x:v>
      </x:c>
      <x:c r="S10" s="5" t="s">
        <x:v>375</x:v>
      </x:c>
      <x:c r="T10" s="5" t="s">
        <x:v>376</x:v>
      </x:c>
      <x:c r="U10" s="5" t="s">
        <x:v>377</x:v>
      </x:c>
      <x:c r="V10" s="5" t="s">
        <x:v>378</x:v>
      </x:c>
    </x:row>
    <x:row r="11" ht="300" hidden="0" customHeight="1">
      <x:c r="A11" s="35" t="s">
        <x:v>354</x:v>
      </x:c>
      <x:c r="B11" s="36" t="s">
        <x:v>379</x:v>
      </x:c>
      <x:c r="C11" s="35" t="s">
        <x:v>380</x:v>
      </x:c>
      <x:c r="D11" s="35" t="s">
        <x:v>381</x:v>
      </x:c>
      <x:c r="E11" s="35" t="s">
        <x:v>358</x:v>
      </x:c>
      <x:c r="F11" s="37" t="s">
        <x:v>309</x:v>
      </x:c>
      <x:c r="G11" s="37"/>
      <x:c r="H11" s="35"/>
      <x:c r="I11" s="35"/>
      <x:c r="J11" s="35"/>
      <x:c r="K11" s="35"/>
      <x:c r="L11" s="16"/>
      <x:c r="M11" s="34" t="s">
        <x:v>382</x:v>
      </x:c>
      <x:c r="N11" s="34" t="s">
        <x:v>383</x:v>
      </x:c>
      <x:c r="O11" s="5" t="s">
        <x:v>312</x:v>
      </x:c>
      <x:c r="P11" s="5" t="s">
        <x:v>312</x:v>
      </x:c>
      <x:c r="Q11" s="5" t="s">
        <x:v>384</x:v>
      </x:c>
      <x:c r="R11" s="5" t="s">
        <x:v>385</x:v>
      </x:c>
      <x:c r="S11" s="5" t="s">
        <x:v>386</x:v>
      </x:c>
      <x:c r="T11" s="5" t="s">
        <x:v>387</x:v>
      </x:c>
      <x:c r="U11" s="5" t="s">
        <x:v>388</x:v>
      </x:c>
      <x:c r="V11" s="5" t="s">
        <x:v>389</x:v>
      </x:c>
    </x:row>
    <x:row r="12" ht="300" hidden="0" customHeight="1">
      <x:c r="A12" s="16" t="s">
        <x:v>354</x:v>
      </x:c>
      <x:c r="B12" s="15" t="s">
        <x:v>390</x:v>
      </x:c>
      <x:c r="C12" s="16" t="s">
        <x:v>391</x:v>
      </x:c>
      <x:c r="D12" s="16" t="s">
        <x:v>392</x:v>
      </x:c>
      <x:c r="E12" s="16" t="s">
        <x:v>358</x:v>
      </x:c>
      <x:c r="F12" s="33" t="s">
        <x:v>309</x:v>
      </x:c>
      <x:c r="G12" s="33"/>
      <x:c r="H12" s="16"/>
      <x:c r="I12" s="16"/>
      <x:c r="J12" s="16"/>
      <x:c r="K12" s="16"/>
      <x:c r="L12" s="16"/>
      <x:c r="M12" s="34" t="s">
        <x:v>393</x:v>
      </x:c>
      <x:c r="N12" s="34" t="s">
        <x:v>361</x:v>
      </x:c>
      <x:c r="O12" s="5" t="s">
        <x:v>312</x:v>
      </x:c>
      <x:c r="P12" s="5" t="s">
        <x:v>312</x:v>
      </x:c>
      <x:c r="Q12" s="5" t="s">
        <x:v>394</x:v>
      </x:c>
      <x:c r="R12" s="5" t="s">
        <x:v>363</x:v>
      </x:c>
      <x:c r="S12" s="5" t="s">
        <x:v>364</x:v>
      </x:c>
      <x:c r="T12" s="5" t="s">
        <x:v>365</x:v>
      </x:c>
      <x:c r="U12" s="5" t="s">
        <x:v>366</x:v>
      </x:c>
      <x:c r="V12" s="5" t="s">
        <x:v>367</x:v>
      </x:c>
    </x:row>
    <x:row r="13" ht="300" hidden="0" customHeight="1">
      <x:c r="A13" s="35" t="s">
        <x:v>354</x:v>
      </x:c>
      <x:c r="B13" s="36" t="s">
        <x:v>395</x:v>
      </x:c>
      <x:c r="C13" s="35" t="s">
        <x:v>396</x:v>
      </x:c>
      <x:c r="D13" s="35" t="s">
        <x:v>397</x:v>
      </x:c>
      <x:c r="E13" s="35" t="s">
        <x:v>358</x:v>
      </x:c>
      <x:c r="F13" s="37" t="s">
        <x:v>309</x:v>
      </x:c>
      <x:c r="G13" s="37"/>
      <x:c r="H13" s="35"/>
      <x:c r="I13" s="35"/>
      <x:c r="J13" s="35"/>
      <x:c r="K13" s="35"/>
      <x:c r="L13" s="16" t="s">
        <x:v>398</x:v>
      </x:c>
      <x:c r="M13" s="34" t="s">
        <x:v>399</x:v>
      </x:c>
      <x:c r="N13" s="34" t="s">
        <x:v>400</x:v>
      </x:c>
      <x:c r="O13" s="5" t="s">
        <x:v>312</x:v>
      </x:c>
      <x:c r="P13" s="5" t="s">
        <x:v>312</x:v>
      </x:c>
      <x:c r="Q13" s="5" t="s">
        <x:v>401</x:v>
      </x:c>
      <x:c r="R13" s="5" t="s">
        <x:v>402</x:v>
      </x:c>
      <x:c r="S13" s="5" t="s">
        <x:v>403</x:v>
      </x:c>
      <x:c r="T13" s="5" t="s">
        <x:v>404</x:v>
      </x:c>
      <x:c r="U13" s="5" t="s">
        <x:v>405</x:v>
      </x:c>
      <x:c r="V13" s="5" t="s">
        <x:v>406</x:v>
      </x:c>
    </x:row>
    <x:row r="14" ht="300" hidden="0" customHeight="1">
      <x:c r="A14" s="16" t="s">
        <x:v>407</x:v>
      </x:c>
      <x:c r="B14" s="15" t="s">
        <x:v>408</x:v>
      </x:c>
      <x:c r="C14" s="16" t="s">
        <x:v>409</x:v>
      </x:c>
      <x:c r="D14" s="16" t="s">
        <x:v>410</x:v>
      </x:c>
      <x:c r="E14" s="16" t="s">
        <x:v>127</x:v>
      </x:c>
      <x:c r="F14" s="33" t="s">
        <x:v>309</x:v>
      </x:c>
      <x:c r="G14" s="33"/>
      <x:c r="H14" s="16"/>
      <x:c r="I14" s="16"/>
      <x:c r="J14" s="16"/>
      <x:c r="K14" s="16"/>
      <x:c r="L14" s="16" t="s">
        <x:v>411</x:v>
      </x:c>
      <x:c r="M14" s="34" t="s">
        <x:v>412</x:v>
      </x:c>
      <x:c r="N14" s="34" t="s">
        <x:v>361</x:v>
      </x:c>
      <x:c r="O14" s="5" t="s">
        <x:v>312</x:v>
      </x:c>
      <x:c r="P14" s="5" t="s">
        <x:v>312</x:v>
      </x:c>
      <x:c r="Q14" s="5" t="s">
        <x:v>413</x:v>
      </x:c>
      <x:c r="R14" s="5" t="s">
        <x:v>363</x:v>
      </x:c>
      <x:c r="S14" s="5" t="s">
        <x:v>364</x:v>
      </x:c>
      <x:c r="T14" s="5" t="s">
        <x:v>365</x:v>
      </x:c>
      <x:c r="U14" s="5" t="s">
        <x:v>366</x:v>
      </x:c>
      <x:c r="V14" s="5" t="s">
        <x:v>367</x:v>
      </x:c>
    </x:row>
    <x:row r="15" ht="300" hidden="0" customHeight="1">
      <x:c r="A15" s="35" t="s">
        <x:v>407</x:v>
      </x:c>
      <x:c r="B15" s="36" t="s">
        <x:v>414</x:v>
      </x:c>
      <x:c r="C15" s="35" t="s">
        <x:v>415</x:v>
      </x:c>
      <x:c r="D15" s="35" t="s">
        <x:v>416</x:v>
      </x:c>
      <x:c r="E15" s="35" t="s">
        <x:v>127</x:v>
      </x:c>
      <x:c r="F15" s="37" t="s">
        <x:v>309</x:v>
      </x:c>
      <x:c r="G15" s="37"/>
      <x:c r="H15" s="35"/>
      <x:c r="I15" s="35"/>
      <x:c r="J15" s="35"/>
      <x:c r="K15" s="35"/>
      <x:c r="L15" s="16" t="s">
        <x:v>417</x:v>
      </x:c>
      <x:c r="M15" s="34" t="s">
        <x:v>418</x:v>
      </x:c>
      <x:c r="N15" s="34" t="s">
        <x:v>361</x:v>
      </x:c>
      <x:c r="O15" s="5" t="s">
        <x:v>312</x:v>
      </x:c>
      <x:c r="P15" s="5" t="s">
        <x:v>312</x:v>
      </x:c>
      <x:c r="Q15" s="5" t="s">
        <x:v>419</x:v>
      </x:c>
      <x:c r="R15" s="5" t="s">
        <x:v>363</x:v>
      </x:c>
      <x:c r="S15" s="5" t="s">
        <x:v>364</x:v>
      </x:c>
      <x:c r="T15" s="5" t="s">
        <x:v>365</x:v>
      </x:c>
      <x:c r="U15" s="5" t="s">
        <x:v>366</x:v>
      </x:c>
      <x:c r="V15" s="5" t="s">
        <x:v>367</x:v>
      </x:c>
    </x:row>
    <x:row r="16" ht="300" hidden="0" customHeight="1">
      <x:c r="A16" s="16" t="s">
        <x:v>407</x:v>
      </x:c>
      <x:c r="B16" s="15" t="s">
        <x:v>420</x:v>
      </x:c>
      <x:c r="C16" s="16" t="s">
        <x:v>421</x:v>
      </x:c>
      <x:c r="D16" s="16" t="s">
        <x:v>422</x:v>
      </x:c>
      <x:c r="E16" s="16" t="s">
        <x:v>127</x:v>
      </x:c>
      <x:c r="F16" s="33" t="s">
        <x:v>309</x:v>
      </x:c>
      <x:c r="G16" s="33"/>
      <x:c r="H16" s="16"/>
      <x:c r="I16" s="16"/>
      <x:c r="J16" s="16"/>
      <x:c r="K16" s="16"/>
      <x:c r="L16" s="16" t="s">
        <x:v>417</x:v>
      </x:c>
      <x:c r="M16" s="34" t="s">
        <x:v>423</x:v>
      </x:c>
      <x:c r="N16" s="34" t="s">
        <x:v>361</x:v>
      </x:c>
      <x:c r="O16" s="5" t="s">
        <x:v>312</x:v>
      </x:c>
      <x:c r="P16" s="5" t="s">
        <x:v>312</x:v>
      </x:c>
      <x:c r="Q16" s="5" t="s">
        <x:v>424</x:v>
      </x:c>
      <x:c r="R16" s="5" t="s">
        <x:v>363</x:v>
      </x:c>
      <x:c r="S16" s="5" t="s">
        <x:v>364</x:v>
      </x:c>
      <x:c r="T16" s="5" t="s">
        <x:v>365</x:v>
      </x:c>
      <x:c r="U16" s="5" t="s">
        <x:v>366</x:v>
      </x:c>
      <x:c r="V16" s="5" t="s">
        <x:v>367</x:v>
      </x:c>
    </x:row>
    <x:row r="17" ht="300" hidden="0" customHeight="1">
      <x:c r="A17" s="35" t="s">
        <x:v>407</x:v>
      </x:c>
      <x:c r="B17" s="36" t="s">
        <x:v>425</x:v>
      </x:c>
      <x:c r="C17" s="35" t="s">
        <x:v>426</x:v>
      </x:c>
      <x:c r="D17" s="35" t="s">
        <x:v>427</x:v>
      </x:c>
      <x:c r="E17" s="35" t="s">
        <x:v>127</x:v>
      </x:c>
      <x:c r="F17" s="37" t="s">
        <x:v>309</x:v>
      </x:c>
      <x:c r="G17" s="37"/>
      <x:c r="H17" s="35"/>
      <x:c r="I17" s="35"/>
      <x:c r="J17" s="35"/>
      <x:c r="K17" s="35"/>
      <x:c r="L17" s="16" t="s">
        <x:v>417</x:v>
      </x:c>
      <x:c r="M17" s="34" t="s">
        <x:v>428</x:v>
      </x:c>
      <x:c r="N17" s="34" t="s">
        <x:v>361</x:v>
      </x:c>
      <x:c r="O17" s="5" t="s">
        <x:v>312</x:v>
      </x:c>
      <x:c r="P17" s="5" t="s">
        <x:v>312</x:v>
      </x:c>
      <x:c r="Q17" s="5" t="s">
        <x:v>429</x:v>
      </x:c>
      <x:c r="R17" s="5" t="s">
        <x:v>363</x:v>
      </x:c>
      <x:c r="S17" s="5" t="s">
        <x:v>364</x:v>
      </x:c>
      <x:c r="T17" s="5" t="s">
        <x:v>365</x:v>
      </x:c>
      <x:c r="U17" s="5" t="s">
        <x:v>366</x:v>
      </x:c>
      <x:c r="V17" s="5" t="s">
        <x:v>367</x:v>
      </x:c>
    </x:row>
    <x:row r="18" ht="300" hidden="0" customHeight="1">
      <x:c r="A18" s="16" t="s">
        <x:v>430</x:v>
      </x:c>
      <x:c r="B18" s="15" t="s">
        <x:v>431</x:v>
      </x:c>
      <x:c r="C18" s="16" t="s">
        <x:v>432</x:v>
      </x:c>
      <x:c r="D18" s="16" t="s">
        <x:v>433</x:v>
      </x:c>
      <x:c r="E18" s="16" t="s">
        <x:v>434</x:v>
      </x:c>
      <x:c r="F18" s="33" t="s">
        <x:v>309</x:v>
      </x:c>
      <x:c r="G18" s="33"/>
      <x:c r="H18" s="16"/>
      <x:c r="I18" s="16"/>
      <x:c r="J18" s="16"/>
      <x:c r="K18" s="16"/>
      <x:c r="L18" s="16"/>
      <x:c r="M18" s="34" t="s">
        <x:v>435</x:v>
      </x:c>
      <x:c r="N18" s="34" t="s">
        <x:v>335</x:v>
      </x:c>
      <x:c r="O18" s="5" t="s">
        <x:v>312</x:v>
      </x:c>
      <x:c r="P18" s="5" t="s">
        <x:v>312</x:v>
      </x:c>
      <x:c r="Q18" s="5" t="s">
        <x:v>436</x:v>
      </x:c>
      <x:c r="R18" s="5" t="s">
        <x:v>337</x:v>
      </x:c>
      <x:c r="S18" s="5" t="s">
        <x:v>338</x:v>
      </x:c>
      <x:c r="T18" s="5" t="s">
        <x:v>339</x:v>
      </x:c>
      <x:c r="U18" s="5" t="s">
        <x:v>340</x:v>
      </x:c>
      <x:c r="V18" s="5" t="s">
        <x:v>341</x:v>
      </x:c>
    </x:row>
    <x:row r="19" ht="300" hidden="0" customHeight="1">
      <x:c r="A19" s="35" t="s">
        <x:v>430</x:v>
      </x:c>
      <x:c r="B19" s="36" t="s">
        <x:v>437</x:v>
      </x:c>
      <x:c r="C19" s="35" t="s">
        <x:v>438</x:v>
      </x:c>
      <x:c r="D19" s="35" t="s">
        <x:v>439</x:v>
      </x:c>
      <x:c r="E19" s="35" t="s">
        <x:v>434</x:v>
      </x:c>
      <x:c r="F19" s="37" t="s">
        <x:v>309</x:v>
      </x:c>
      <x:c r="G19" s="37"/>
      <x:c r="H19" s="35"/>
      <x:c r="I19" s="35"/>
      <x:c r="J19" s="35"/>
      <x:c r="K19" s="35"/>
      <x:c r="L19" s="16"/>
      <x:c r="M19" s="34" t="s">
        <x:v>440</x:v>
      </x:c>
      <x:c r="N19" s="34" t="s">
        <x:v>400</x:v>
      </x:c>
      <x:c r="O19" s="5" t="s">
        <x:v>312</x:v>
      </x:c>
      <x:c r="P19" s="5" t="s">
        <x:v>312</x:v>
      </x:c>
      <x:c r="Q19" s="5" t="s">
        <x:v>441</x:v>
      </x:c>
      <x:c r="R19" s="5" t="s">
        <x:v>402</x:v>
      </x:c>
      <x:c r="S19" s="5" t="s">
        <x:v>403</x:v>
      </x:c>
      <x:c r="T19" s="5" t="s">
        <x:v>404</x:v>
      </x:c>
      <x:c r="U19" s="5" t="s">
        <x:v>405</x:v>
      </x:c>
      <x:c r="V19" s="5" t="s">
        <x:v>406</x:v>
      </x:c>
    </x:row>
    <x:row r="20" ht="300" hidden="0" customHeight="1">
      <x:c r="A20" s="16" t="s">
        <x:v>430</x:v>
      </x:c>
      <x:c r="B20" s="15" t="s">
        <x:v>442</x:v>
      </x:c>
      <x:c r="C20" s="16" t="s">
        <x:v>443</x:v>
      </x:c>
      <x:c r="D20" s="16" t="s">
        <x:v>444</x:v>
      </x:c>
      <x:c r="E20" s="16" t="s">
        <x:v>434</x:v>
      </x:c>
      <x:c r="F20" s="33" t="s">
        <x:v>309</x:v>
      </x:c>
      <x:c r="G20" s="33"/>
      <x:c r="H20" s="16"/>
      <x:c r="I20" s="16"/>
      <x:c r="J20" s="16"/>
      <x:c r="K20" s="16"/>
      <x:c r="L20" s="16" t="s">
        <x:v>445</x:v>
      </x:c>
      <x:c r="M20" s="34" t="s">
        <x:v>446</x:v>
      </x:c>
      <x:c r="N20" s="34" t="s">
        <x:v>400</x:v>
      </x:c>
      <x:c r="O20" s="5" t="s">
        <x:v>312</x:v>
      </x:c>
      <x:c r="P20" s="5" t="s">
        <x:v>312</x:v>
      </x:c>
      <x:c r="Q20" s="5" t="s">
        <x:v>447</x:v>
      </x:c>
      <x:c r="R20" s="5" t="s">
        <x:v>402</x:v>
      </x:c>
      <x:c r="S20" s="5" t="s">
        <x:v>403</x:v>
      </x:c>
      <x:c r="T20" s="5" t="s">
        <x:v>404</x:v>
      </x:c>
      <x:c r="U20" s="5" t="s">
        <x:v>405</x:v>
      </x:c>
      <x:c r="V20" s="5" t="s">
        <x:v>406</x:v>
      </x:c>
    </x:row>
    <x:row r="21" ht="300" hidden="0" customHeight="1">
      <x:c r="A21" s="35" t="s">
        <x:v>430</x:v>
      </x:c>
      <x:c r="B21" s="36" t="s">
        <x:v>448</x:v>
      </x:c>
      <x:c r="C21" s="35" t="s">
        <x:v>449</x:v>
      </x:c>
      <x:c r="D21" s="35" t="s">
        <x:v>450</x:v>
      </x:c>
      <x:c r="E21" s="35" t="s">
        <x:v>434</x:v>
      </x:c>
      <x:c r="F21" s="37" t="s">
        <x:v>309</x:v>
      </x:c>
      <x:c r="G21" s="37"/>
      <x:c r="H21" s="35"/>
      <x:c r="I21" s="35"/>
      <x:c r="J21" s="35"/>
      <x:c r="K21" s="35"/>
      <x:c r="L21" s="16" t="s">
        <x:v>445</x:v>
      </x:c>
      <x:c r="M21" s="34" t="s">
        <x:v>451</x:v>
      </x:c>
      <x:c r="N21" s="34" t="s">
        <x:v>383</x:v>
      </x:c>
      <x:c r="O21" s="5" t="s">
        <x:v>312</x:v>
      </x:c>
      <x:c r="P21" s="5" t="s">
        <x:v>312</x:v>
      </x:c>
      <x:c r="Q21" s="5" t="s">
        <x:v>452</x:v>
      </x:c>
      <x:c r="R21" s="5" t="s">
        <x:v>385</x:v>
      </x:c>
      <x:c r="S21" s="5" t="s">
        <x:v>386</x:v>
      </x:c>
      <x:c r="T21" s="5" t="s">
        <x:v>387</x:v>
      </x:c>
      <x:c r="U21" s="5" t="s">
        <x:v>388</x:v>
      </x:c>
      <x:c r="V21" s="5" t="s">
        <x:v>389</x:v>
      </x:c>
    </x:row>
    <x:row r="22" ht="285" hidden="0" customHeight="1">
      <x:c r="A22" s="16" t="s">
        <x:v>430</x:v>
      </x:c>
      <x:c r="B22" s="15" t="s">
        <x:v>453</x:v>
      </x:c>
      <x:c r="C22" s="16" t="s">
        <x:v>454</x:v>
      </x:c>
      <x:c r="D22" s="16" t="s">
        <x:v>455</x:v>
      </x:c>
      <x:c r="E22" s="16" t="s">
        <x:v>434</x:v>
      </x:c>
      <x:c r="F22" s="33" t="s">
        <x:v>309</x:v>
      </x:c>
      <x:c r="G22" s="33"/>
      <x:c r="H22" s="16"/>
      <x:c r="I22" s="16"/>
      <x:c r="J22" s="16"/>
      <x:c r="K22" s="16"/>
      <x:c r="L22" s="16" t="s">
        <x:v>456</x:v>
      </x:c>
      <x:c r="M22" s="34" t="s">
        <x:v>457</x:v>
      </x:c>
      <x:c r="N22" s="34" t="s">
        <x:v>458</x:v>
      </x:c>
      <x:c r="O22" s="5" t="s">
        <x:v>312</x:v>
      </x:c>
      <x:c r="P22" s="5" t="s">
        <x:v>312</x:v>
      </x:c>
      <x:c r="Q22" s="5" t="s">
        <x:v>459</x:v>
      </x:c>
      <x:c r="R22" s="5" t="s">
        <x:v>460</x:v>
      </x:c>
      <x:c r="S22" s="5" t="s">
        <x:v>461</x:v>
      </x:c>
      <x:c r="T22" s="5" t="s">
        <x:v>462</x:v>
      </x:c>
      <x:c r="U22" s="5" t="s">
        <x:v>463</x:v>
      </x:c>
      <x:c r="V22" s="5" t="s">
        <x:v>464</x:v>
      </x:c>
    </x:row>
    <x:row r="23" ht="300" hidden="0" customHeight="1">
      <x:c r="A23" s="35" t="s">
        <x:v>430</x:v>
      </x:c>
      <x:c r="B23" s="36" t="s">
        <x:v>465</x:v>
      </x:c>
      <x:c r="C23" s="35" t="s">
        <x:v>466</x:v>
      </x:c>
      <x:c r="D23" s="35" t="s">
        <x:v>467</x:v>
      </x:c>
      <x:c r="E23" s="35" t="s">
        <x:v>434</x:v>
      </x:c>
      <x:c r="F23" s="37" t="s">
        <x:v>309</x:v>
      </x:c>
      <x:c r="G23" s="37"/>
      <x:c r="H23" s="35"/>
      <x:c r="I23" s="35"/>
      <x:c r="J23" s="35"/>
      <x:c r="K23" s="35"/>
      <x:c r="L23" s="16" t="s">
        <x:v>468</x:v>
      </x:c>
      <x:c r="M23" s="34" t="s">
        <x:v>469</x:v>
      </x:c>
      <x:c r="N23" s="34" t="s">
        <x:v>400</x:v>
      </x:c>
      <x:c r="O23" s="5" t="s">
        <x:v>312</x:v>
      </x:c>
      <x:c r="P23" s="5" t="s">
        <x:v>312</x:v>
      </x:c>
      <x:c r="Q23" s="5" t="s">
        <x:v>470</x:v>
      </x:c>
      <x:c r="R23" s="5" t="s">
        <x:v>402</x:v>
      </x:c>
      <x:c r="S23" s="5" t="s">
        <x:v>403</x:v>
      </x:c>
      <x:c r="T23" s="5" t="s">
        <x:v>404</x:v>
      </x:c>
      <x:c r="U23" s="5" t="s">
        <x:v>405</x:v>
      </x:c>
      <x:c r="V23" s="5" t="s">
        <x:v>406</x:v>
      </x:c>
    </x:row>
    <x:row r="24" ht="297" hidden="0" customHeight="1">
      <x:c r="A24" s="16" t="s">
        <x:v>430</x:v>
      </x:c>
      <x:c r="B24" s="15" t="s">
        <x:v>471</x:v>
      </x:c>
      <x:c r="C24" s="16" t="s">
        <x:v>472</x:v>
      </x:c>
      <x:c r="D24" s="16" t="s">
        <x:v>473</x:v>
      </x:c>
      <x:c r="E24" s="16" t="s">
        <x:v>434</x:v>
      </x:c>
      <x:c r="F24" s="33" t="s">
        <x:v>309</x:v>
      </x:c>
      <x:c r="G24" s="33"/>
      <x:c r="H24" s="16"/>
      <x:c r="I24" s="16"/>
      <x:c r="J24" s="16"/>
      <x:c r="K24" s="16"/>
      <x:c r="L24" s="16" t="s">
        <x:v>474</x:v>
      </x:c>
      <x:c r="M24" s="34" t="s">
        <x:v>475</x:v>
      </x:c>
      <x:c r="N24" s="34" t="s">
        <x:v>476</x:v>
      </x:c>
      <x:c r="O24" s="5" t="s">
        <x:v>312</x:v>
      </x:c>
      <x:c r="P24" s="5" t="s">
        <x:v>312</x:v>
      </x:c>
      <x:c r="Q24" s="5" t="s">
        <x:v>477</x:v>
      </x:c>
      <x:c r="R24" s="5" t="s">
        <x:v>478</x:v>
      </x:c>
      <x:c r="S24" s="5" t="s">
        <x:v>479</x:v>
      </x:c>
      <x:c r="T24" s="5" t="s">
        <x:v>480</x:v>
      </x:c>
      <x:c r="U24" s="5" t="s">
        <x:v>481</x:v>
      </x:c>
      <x:c r="V24" s="5" t="s">
        <x:v>482</x:v>
      </x:c>
    </x:row>
    <x:row r="25" ht="297" hidden="0" customHeight="1">
      <x:c r="A25" s="35" t="s">
        <x:v>430</x:v>
      </x:c>
      <x:c r="B25" s="36" t="s">
        <x:v>483</x:v>
      </x:c>
      <x:c r="C25" s="35" t="s">
        <x:v>484</x:v>
      </x:c>
      <x:c r="D25" s="35" t="s">
        <x:v>485</x:v>
      </x:c>
      <x:c r="E25" s="35" t="s">
        <x:v>434</x:v>
      </x:c>
      <x:c r="F25" s="37" t="s">
        <x:v>309</x:v>
      </x:c>
      <x:c r="G25" s="37"/>
      <x:c r="H25" s="35"/>
      <x:c r="I25" s="35"/>
      <x:c r="J25" s="35"/>
      <x:c r="K25" s="35"/>
      <x:c r="L25" s="16"/>
      <x:c r="M25" s="34" t="s">
        <x:v>486</x:v>
      </x:c>
      <x:c r="N25" s="34" t="s">
        <x:v>476</x:v>
      </x:c>
      <x:c r="O25" s="5" t="s">
        <x:v>312</x:v>
      </x:c>
      <x:c r="P25" s="5" t="s">
        <x:v>312</x:v>
      </x:c>
      <x:c r="Q25" s="5" t="s">
        <x:v>487</x:v>
      </x:c>
      <x:c r="R25" s="5" t="s">
        <x:v>478</x:v>
      </x:c>
      <x:c r="S25" s="5" t="s">
        <x:v>479</x:v>
      </x:c>
      <x:c r="T25" s="5" t="s">
        <x:v>480</x:v>
      </x:c>
      <x:c r="U25" s="5" t="s">
        <x:v>481</x:v>
      </x:c>
      <x:c r="V25" s="5" t="s">
        <x:v>482</x:v>
      </x:c>
    </x:row>
    <x:row r="26" ht="260.25" hidden="0" customHeight="1">
      <x:c r="A26" s="16" t="s">
        <x:v>430</x:v>
      </x:c>
      <x:c r="B26" s="15" t="s">
        <x:v>488</x:v>
      </x:c>
      <x:c r="C26" s="16" t="s">
        <x:v>489</x:v>
      </x:c>
      <x:c r="D26" s="16" t="s">
        <x:v>490</x:v>
      </x:c>
      <x:c r="E26" s="16" t="s">
        <x:v>434</x:v>
      </x:c>
      <x:c r="F26" s="33" t="s">
        <x:v>309</x:v>
      </x:c>
      <x:c r="G26" s="33"/>
      <x:c r="H26" s="16"/>
      <x:c r="I26" s="16"/>
      <x:c r="J26" s="16"/>
      <x:c r="K26" s="16"/>
      <x:c r="L26" s="16"/>
      <x:c r="M26" s="34" t="s">
        <x:v>491</x:v>
      </x:c>
      <x:c r="N26" s="34" t="s">
        <x:v>492</x:v>
      </x:c>
      <x:c r="O26" s="5" t="s">
        <x:v>312</x:v>
      </x:c>
      <x:c r="P26" s="5" t="s">
        <x:v>312</x:v>
      </x:c>
      <x:c r="Q26" s="5" t="s">
        <x:v>493</x:v>
      </x:c>
      <x:c r="R26" s="5" t="s">
        <x:v>494</x:v>
      </x:c>
      <x:c r="S26" s="5" t="s">
        <x:v>495</x:v>
      </x:c>
      <x:c r="T26" s="5" t="s">
        <x:v>496</x:v>
      </x:c>
      <x:c r="U26" s="5" t="s">
        <x:v>497</x:v>
      </x:c>
      <x:c r="V26" s="5" t="s">
        <x:v>498</x:v>
      </x:c>
    </x:row>
    <x:row r="27" ht="297" hidden="0" customHeight="1">
      <x:c r="A27" s="35" t="s">
        <x:v>499</x:v>
      </x:c>
      <x:c r="B27" s="36" t="s">
        <x:v>500</x:v>
      </x:c>
      <x:c r="C27" s="35" t="s">
        <x:v>501</x:v>
      </x:c>
      <x:c r="D27" s="35" t="s">
        <x:v>502</x:v>
      </x:c>
      <x:c r="E27" s="35" t="s">
        <x:v>89</x:v>
      </x:c>
      <x:c r="F27" s="37" t="s">
        <x:v>309</x:v>
      </x:c>
      <x:c r="G27" s="37"/>
      <x:c r="H27" s="35"/>
      <x:c r="I27" s="35"/>
      <x:c r="J27" s="35"/>
      <x:c r="K27" s="35"/>
      <x:c r="L27" s="16" t="s">
        <x:v>445</x:v>
      </x:c>
      <x:c r="M27" s="34" t="s">
        <x:v>503</x:v>
      </x:c>
      <x:c r="N27" s="34" t="s">
        <x:v>372</x:v>
      </x:c>
      <x:c r="O27" s="5" t="s">
        <x:v>312</x:v>
      </x:c>
      <x:c r="P27" s="5" t="s">
        <x:v>312</x:v>
      </x:c>
      <x:c r="Q27" s="5" t="s">
        <x:v>504</x:v>
      </x:c>
      <x:c r="R27" s="5" t="s">
        <x:v>374</x:v>
      </x:c>
      <x:c r="S27" s="5" t="s">
        <x:v>375</x:v>
      </x:c>
      <x:c r="T27" s="5" t="s">
        <x:v>376</x:v>
      </x:c>
      <x:c r="U27" s="5" t="s">
        <x:v>377</x:v>
      </x:c>
      <x:c r="V27" s="5" t="s">
        <x:v>378</x:v>
      </x:c>
    </x:row>
    <x:row r="28" ht="285" hidden="0" customHeight="1">
      <x:c r="A28" s="16" t="s">
        <x:v>499</x:v>
      </x:c>
      <x:c r="B28" s="15" t="s">
        <x:v>505</x:v>
      </x:c>
      <x:c r="C28" s="16" t="s">
        <x:v>506</x:v>
      </x:c>
      <x:c r="D28" s="16" t="s">
        <x:v>507</x:v>
      </x:c>
      <x:c r="E28" s="16" t="s">
        <x:v>89</x:v>
      </x:c>
      <x:c r="F28" s="33" t="s">
        <x:v>309</x:v>
      </x:c>
      <x:c r="G28" s="33"/>
      <x:c r="H28" s="16"/>
      <x:c r="I28" s="16"/>
      <x:c r="J28" s="16"/>
      <x:c r="K28" s="16"/>
      <x:c r="L28" s="16" t="s">
        <x:v>445</x:v>
      </x:c>
      <x:c r="M28" s="34" t="s">
        <x:v>508</x:v>
      </x:c>
      <x:c r="N28" s="34" t="s">
        <x:v>458</x:v>
      </x:c>
      <x:c r="O28" s="5" t="s">
        <x:v>312</x:v>
      </x:c>
      <x:c r="P28" s="5" t="s">
        <x:v>312</x:v>
      </x:c>
      <x:c r="Q28" s="5" t="s">
        <x:v>509</x:v>
      </x:c>
      <x:c r="R28" s="5" t="s">
        <x:v>460</x:v>
      </x:c>
      <x:c r="S28" s="5" t="s">
        <x:v>461</x:v>
      </x:c>
      <x:c r="T28" s="5" t="s">
        <x:v>462</x:v>
      </x:c>
      <x:c r="U28" s="5" t="s">
        <x:v>463</x:v>
      </x:c>
      <x:c r="V28" s="5" t="s">
        <x:v>464</x:v>
      </x:c>
    </x:row>
    <x:row r="29" ht="285" hidden="0" customHeight="1">
      <x:c r="A29" s="35" t="s">
        <x:v>499</x:v>
      </x:c>
      <x:c r="B29" s="36" t="s">
        <x:v>510</x:v>
      </x:c>
      <x:c r="C29" s="35" t="s">
        <x:v>511</x:v>
      </x:c>
      <x:c r="D29" s="35" t="s">
        <x:v>512</x:v>
      </x:c>
      <x:c r="E29" s="35" t="s">
        <x:v>89</x:v>
      </x:c>
      <x:c r="F29" s="37" t="s">
        <x:v>309</x:v>
      </x:c>
      <x:c r="G29" s="37"/>
      <x:c r="H29" s="35"/>
      <x:c r="I29" s="35"/>
      <x:c r="J29" s="35"/>
      <x:c r="K29" s="35"/>
      <x:c r="L29" s="16" t="s">
        <x:v>445</x:v>
      </x:c>
      <x:c r="M29" s="34" t="s">
        <x:v>513</x:v>
      </x:c>
      <x:c r="N29" s="34" t="s">
        <x:v>458</x:v>
      </x:c>
      <x:c r="O29" s="5" t="s">
        <x:v>312</x:v>
      </x:c>
      <x:c r="P29" s="5" t="s">
        <x:v>312</x:v>
      </x:c>
      <x:c r="Q29" s="5" t="s">
        <x:v>514</x:v>
      </x:c>
      <x:c r="R29" s="5" t="s">
        <x:v>460</x:v>
      </x:c>
      <x:c r="S29" s="5" t="s">
        <x:v>461</x:v>
      </x:c>
      <x:c r="T29" s="5" t="s">
        <x:v>462</x:v>
      </x:c>
      <x:c r="U29" s="5" t="s">
        <x:v>463</x:v>
      </x:c>
      <x:c r="V29" s="5" t="s">
        <x:v>464</x:v>
      </x:c>
    </x:row>
    <x:row r="30" ht="260.25" hidden="0" customHeight="1">
      <x:c r="A30" s="16" t="s">
        <x:v>499</x:v>
      </x:c>
      <x:c r="B30" s="15" t="s">
        <x:v>515</x:v>
      </x:c>
      <x:c r="C30" s="16" t="s">
        <x:v>516</x:v>
      </x:c>
      <x:c r="D30" s="16" t="s">
        <x:v>517</x:v>
      </x:c>
      <x:c r="E30" s="16" t="s">
        <x:v>89</x:v>
      </x:c>
      <x:c r="F30" s="33" t="s">
        <x:v>309</x:v>
      </x:c>
      <x:c r="G30" s="33"/>
      <x:c r="H30" s="16"/>
      <x:c r="I30" s="16"/>
      <x:c r="J30" s="16"/>
      <x:c r="K30" s="16"/>
      <x:c r="L30" s="16" t="s">
        <x:v>445</x:v>
      </x:c>
      <x:c r="M30" s="34" t="s">
        <x:v>518</x:v>
      </x:c>
      <x:c r="N30" s="34" t="s">
        <x:v>492</x:v>
      </x:c>
      <x:c r="O30" s="5" t="s">
        <x:v>312</x:v>
      </x:c>
      <x:c r="P30" s="5" t="s">
        <x:v>312</x:v>
      </x:c>
      <x:c r="Q30" s="5" t="s">
        <x:v>519</x:v>
      </x:c>
      <x:c r="R30" s="5" t="s">
        <x:v>494</x:v>
      </x:c>
      <x:c r="S30" s="5" t="s">
        <x:v>495</x:v>
      </x:c>
      <x:c r="T30" s="5" t="s">
        <x:v>496</x:v>
      </x:c>
      <x:c r="U30" s="5" t="s">
        <x:v>497</x:v>
      </x:c>
      <x:c r="V30" s="5" t="s">
        <x:v>498</x:v>
      </x:c>
    </x:row>
    <x:row r="31" ht="297" hidden="0" customHeight="1">
      <x:c r="A31" s="35" t="s">
        <x:v>499</x:v>
      </x:c>
      <x:c r="B31" s="36" t="s">
        <x:v>520</x:v>
      </x:c>
      <x:c r="C31" s="35" t="s">
        <x:v>521</x:v>
      </x:c>
      <x:c r="D31" s="35" t="s">
        <x:v>522</x:v>
      </x:c>
      <x:c r="E31" s="35" t="s">
        <x:v>89</x:v>
      </x:c>
      <x:c r="F31" s="37" t="s">
        <x:v>309</x:v>
      </x:c>
      <x:c r="G31" s="37"/>
      <x:c r="H31" s="35"/>
      <x:c r="I31" s="35"/>
      <x:c r="J31" s="35"/>
      <x:c r="K31" s="35"/>
      <x:c r="L31" s="16" t="s">
        <x:v>445</x:v>
      </x:c>
      <x:c r="M31" s="34" t="s">
        <x:v>523</x:v>
      </x:c>
      <x:c r="N31" s="34" t="s">
        <x:v>372</x:v>
      </x:c>
      <x:c r="O31" s="5" t="s">
        <x:v>312</x:v>
      </x:c>
      <x:c r="P31" s="5" t="s">
        <x:v>312</x:v>
      </x:c>
      <x:c r="Q31" s="5" t="s">
        <x:v>524</x:v>
      </x:c>
      <x:c r="R31" s="5" t="s">
        <x:v>374</x:v>
      </x:c>
      <x:c r="S31" s="5" t="s">
        <x:v>375</x:v>
      </x:c>
      <x:c r="T31" s="5" t="s">
        <x:v>376</x:v>
      </x:c>
      <x:c r="U31" s="5" t="s">
        <x:v>377</x:v>
      </x:c>
      <x:c r="V31" s="5" t="s">
        <x:v>378</x:v>
      </x:c>
    </x:row>
    <x:row r="32" ht="300" hidden="0" customHeight="1">
      <x:c r="A32" s="16" t="s">
        <x:v>525</x:v>
      </x:c>
      <x:c r="B32" s="15" t="s">
        <x:v>526</x:v>
      </x:c>
      <x:c r="C32" s="16" t="s">
        <x:v>527</x:v>
      </x:c>
      <x:c r="D32" s="16" t="s">
        <x:v>528</x:v>
      </x:c>
      <x:c r="E32" s="16" t="s">
        <x:v>99</x:v>
      </x:c>
      <x:c r="F32" s="33" t="s">
        <x:v>309</x:v>
      </x:c>
      <x:c r="G32" s="33"/>
      <x:c r="H32" s="16"/>
      <x:c r="I32" s="16"/>
      <x:c r="J32" s="16"/>
      <x:c r="K32" s="16"/>
      <x:c r="L32" s="16" t="s">
        <x:v>398</x:v>
      </x:c>
      <x:c r="M32" s="34" t="s">
        <x:v>529</x:v>
      </x:c>
      <x:c r="N32" s="34" t="s">
        <x:v>530</x:v>
      </x:c>
      <x:c r="O32" s="5" t="s">
        <x:v>312</x:v>
      </x:c>
      <x:c r="P32" s="5" t="s">
        <x:v>312</x:v>
      </x:c>
      <x:c r="Q32" s="5" t="s">
        <x:v>531</x:v>
      </x:c>
      <x:c r="R32" s="5" t="s">
        <x:v>532</x:v>
      </x:c>
      <x:c r="S32" s="5" t="s">
        <x:v>533</x:v>
      </x:c>
      <x:c r="T32" s="5" t="s">
        <x:v>534</x:v>
      </x:c>
      <x:c r="U32" s="5" t="s">
        <x:v>535</x:v>
      </x:c>
      <x:c r="V32" s="5" t="s">
        <x:v>536</x:v>
      </x:c>
    </x:row>
    <x:row r="33" ht="297" hidden="0" customHeight="1">
      <x:c r="A33" s="35" t="s">
        <x:v>525</x:v>
      </x:c>
      <x:c r="B33" s="36" t="s">
        <x:v>537</x:v>
      </x:c>
      <x:c r="C33" s="35" t="s">
        <x:v>538</x:v>
      </x:c>
      <x:c r="D33" s="35" t="s">
        <x:v>539</x:v>
      </x:c>
      <x:c r="E33" s="35" t="s">
        <x:v>99</x:v>
      </x:c>
      <x:c r="F33" s="37" t="s">
        <x:v>309</x:v>
      </x:c>
      <x:c r="G33" s="37"/>
      <x:c r="H33" s="35"/>
      <x:c r="I33" s="35"/>
      <x:c r="J33" s="35"/>
      <x:c r="K33" s="35"/>
      <x:c r="L33" s="16" t="s">
        <x:v>398</x:v>
      </x:c>
      <x:c r="M33" s="34" t="s">
        <x:v>540</x:v>
      </x:c>
      <x:c r="N33" s="34" t="s">
        <x:v>361</x:v>
      </x:c>
      <x:c r="O33" s="5" t="s">
        <x:v>312</x:v>
      </x:c>
      <x:c r="P33" s="5" t="s">
        <x:v>312</x:v>
      </x:c>
      <x:c r="Q33" s="5" t="s">
        <x:v>541</x:v>
      </x:c>
      <x:c r="R33" s="5" t="s">
        <x:v>363</x:v>
      </x:c>
      <x:c r="S33" s="5" t="s">
        <x:v>364</x:v>
      </x:c>
      <x:c r="T33" s="5" t="s">
        <x:v>365</x:v>
      </x:c>
      <x:c r="U33" s="5" t="s">
        <x:v>366</x:v>
      </x:c>
      <x:c r="V33" s="5" t="s">
        <x:v>367</x:v>
      </x:c>
    </x:row>
    <x:row r="34" ht="300" hidden="0" customHeight="1">
      <x:c r="A34" s="16" t="s">
        <x:v>525</x:v>
      </x:c>
      <x:c r="B34" s="15" t="s">
        <x:v>542</x:v>
      </x:c>
      <x:c r="C34" s="16" t="s">
        <x:v>543</x:v>
      </x:c>
      <x:c r="D34" s="16" t="s">
        <x:v>544</x:v>
      </x:c>
      <x:c r="E34" s="16" t="s">
        <x:v>99</x:v>
      </x:c>
      <x:c r="F34" s="33" t="s">
        <x:v>309</x:v>
      </x:c>
      <x:c r="G34" s="33"/>
      <x:c r="H34" s="16"/>
      <x:c r="I34" s="16"/>
      <x:c r="J34" s="16"/>
      <x:c r="K34" s="16"/>
      <x:c r="L34" s="16" t="s">
        <x:v>545</x:v>
      </x:c>
      <x:c r="M34" s="34" t="s">
        <x:v>546</x:v>
      </x:c>
      <x:c r="N34" s="34" t="s">
        <x:v>347</x:v>
      </x:c>
      <x:c r="O34" s="5" t="s">
        <x:v>312</x:v>
      </x:c>
      <x:c r="P34" s="5" t="s">
        <x:v>312</x:v>
      </x:c>
      <x:c r="Q34" s="5" t="s">
        <x:v>547</x:v>
      </x:c>
      <x:c r="R34" s="5" t="s">
        <x:v>349</x:v>
      </x:c>
      <x:c r="S34" s="5" t="s">
        <x:v>350</x:v>
      </x:c>
      <x:c r="T34" s="5" t="s">
        <x:v>351</x:v>
      </x:c>
      <x:c r="U34" s="5" t="s">
        <x:v>352</x:v>
      </x:c>
      <x:c r="V34" s="5" t="s">
        <x:v>353</x:v>
      </x:c>
    </x:row>
    <x:row r="35" ht="300" hidden="0" customHeight="1">
      <x:c r="A35" s="35" t="s">
        <x:v>525</x:v>
      </x:c>
      <x:c r="B35" s="36" t="s">
        <x:v>548</x:v>
      </x:c>
      <x:c r="C35" s="35" t="s">
        <x:v>549</x:v>
      </x:c>
      <x:c r="D35" s="35" t="s">
        <x:v>550</x:v>
      </x:c>
      <x:c r="E35" s="35" t="s">
        <x:v>99</x:v>
      </x:c>
      <x:c r="F35" s="37" t="s">
        <x:v>309</x:v>
      </x:c>
      <x:c r="G35" s="37"/>
      <x:c r="H35" s="35"/>
      <x:c r="I35" s="35"/>
      <x:c r="J35" s="35"/>
      <x:c r="K35" s="35"/>
      <x:c r="L35" s="16" t="s">
        <x:v>398</x:v>
      </x:c>
      <x:c r="M35" s="34" t="s">
        <x:v>551</x:v>
      </x:c>
      <x:c r="N35" s="34" t="s">
        <x:v>347</x:v>
      </x:c>
      <x:c r="O35" s="5" t="s">
        <x:v>312</x:v>
      </x:c>
      <x:c r="P35" s="5" t="s">
        <x:v>312</x:v>
      </x:c>
      <x:c r="Q35" s="5" t="s">
        <x:v>552</x:v>
      </x:c>
      <x:c r="R35" s="5" t="s">
        <x:v>349</x:v>
      </x:c>
      <x:c r="S35" s="5" t="s">
        <x:v>350</x:v>
      </x:c>
      <x:c r="T35" s="5" t="s">
        <x:v>351</x:v>
      </x:c>
      <x:c r="U35" s="5" t="s">
        <x:v>352</x:v>
      </x:c>
      <x:c r="V35" s="5" t="s">
        <x:v>353</x:v>
      </x:c>
    </x:row>
    <x:row r="36" ht="300" hidden="0" customHeight="1">
      <x:c r="A36" s="16" t="s">
        <x:v>553</x:v>
      </x:c>
      <x:c r="B36" s="15" t="s">
        <x:v>554</x:v>
      </x:c>
      <x:c r="C36" s="16" t="s">
        <x:v>555</x:v>
      </x:c>
      <x:c r="D36" s="16" t="s">
        <x:v>556</x:v>
      </x:c>
      <x:c r="E36" s="16" t="s">
        <x:v>358</x:v>
      </x:c>
      <x:c r="F36" s="33" t="s">
        <x:v>309</x:v>
      </x:c>
      <x:c r="G36" s="33"/>
      <x:c r="H36" s="16"/>
      <x:c r="I36" s="16"/>
      <x:c r="J36" s="16"/>
      <x:c r="K36" s="16"/>
      <x:c r="L36" s="16" t="s">
        <x:v>468</x:v>
      </x:c>
      <x:c r="M36" s="34" t="s">
        <x:v>557</x:v>
      </x:c>
      <x:c r="N36" s="34" t="s">
        <x:v>347</x:v>
      </x:c>
      <x:c r="O36" s="5" t="s">
        <x:v>312</x:v>
      </x:c>
      <x:c r="P36" s="5" t="s">
        <x:v>312</x:v>
      </x:c>
      <x:c r="Q36" s="5" t="s">
        <x:v>558</x:v>
      </x:c>
      <x:c r="R36" s="5" t="s">
        <x:v>349</x:v>
      </x:c>
      <x:c r="S36" s="5" t="s">
        <x:v>350</x:v>
      </x:c>
      <x:c r="T36" s="5" t="s">
        <x:v>351</x:v>
      </x:c>
      <x:c r="U36" s="5" t="s">
        <x:v>352</x:v>
      </x:c>
      <x:c r="V36" s="5" t="s">
        <x:v>353</x:v>
      </x:c>
    </x:row>
    <x:row r="37" ht="297" hidden="0" customHeight="1">
      <x:c r="A37" s="35" t="s">
        <x:v>553</x:v>
      </x:c>
      <x:c r="B37" s="36" t="s">
        <x:v>559</x:v>
      </x:c>
      <x:c r="C37" s="35" t="s">
        <x:v>560</x:v>
      </x:c>
      <x:c r="D37" s="35" t="s">
        <x:v>561</x:v>
      </x:c>
      <x:c r="E37" s="35" t="s">
        <x:v>358</x:v>
      </x:c>
      <x:c r="F37" s="37" t="s">
        <x:v>309</x:v>
      </x:c>
      <x:c r="G37" s="37"/>
      <x:c r="H37" s="35"/>
      <x:c r="I37" s="35"/>
      <x:c r="J37" s="35"/>
      <x:c r="K37" s="35"/>
      <x:c r="L37" s="16" t="s">
        <x:v>562</x:v>
      </x:c>
      <x:c r="M37" s="34" t="s">
        <x:v>563</x:v>
      </x:c>
      <x:c r="N37" s="34" t="s">
        <x:v>458</x:v>
      </x:c>
      <x:c r="O37" s="5" t="s">
        <x:v>312</x:v>
      </x:c>
      <x:c r="P37" s="5" t="s">
        <x:v>312</x:v>
      </x:c>
      <x:c r="Q37" s="5" t="s">
        <x:v>564</x:v>
      </x:c>
      <x:c r="R37" s="5" t="s">
        <x:v>460</x:v>
      </x:c>
      <x:c r="S37" s="5" t="s">
        <x:v>461</x:v>
      </x:c>
      <x:c r="T37" s="5" t="s">
        <x:v>462</x:v>
      </x:c>
      <x:c r="U37" s="5" t="s">
        <x:v>463</x:v>
      </x:c>
      <x:c r="V37" s="5" t="s">
        <x:v>464</x:v>
      </x:c>
    </x:row>
    <x:row r="38" ht="300" hidden="0" customHeight="1">
      <x:c r="A38" s="16" t="s">
        <x:v>553</x:v>
      </x:c>
      <x:c r="B38" s="15" t="s">
        <x:v>565</x:v>
      </x:c>
      <x:c r="C38" s="16" t="s">
        <x:v>566</x:v>
      </x:c>
      <x:c r="D38" s="16" t="s">
        <x:v>567</x:v>
      </x:c>
      <x:c r="E38" s="16" t="s">
        <x:v>358</x:v>
      </x:c>
      <x:c r="F38" s="33" t="s">
        <x:v>309</x:v>
      </x:c>
      <x:c r="G38" s="33"/>
      <x:c r="H38" s="16"/>
      <x:c r="I38" s="16"/>
      <x:c r="J38" s="16"/>
      <x:c r="K38" s="16"/>
      <x:c r="L38" s="16" t="s">
        <x:v>562</x:v>
      </x:c>
      <x:c r="M38" s="34" t="s">
        <x:v>568</x:v>
      </x:c>
      <x:c r="N38" s="34" t="s">
        <x:v>361</x:v>
      </x:c>
      <x:c r="O38" s="5" t="s">
        <x:v>312</x:v>
      </x:c>
      <x:c r="P38" s="5" t="s">
        <x:v>312</x:v>
      </x:c>
      <x:c r="Q38" s="5" t="s">
        <x:v>569</x:v>
      </x:c>
      <x:c r="R38" s="5" t="s">
        <x:v>363</x:v>
      </x:c>
      <x:c r="S38" s="5" t="s">
        <x:v>364</x:v>
      </x:c>
      <x:c r="T38" s="5" t="s">
        <x:v>365</x:v>
      </x:c>
      <x:c r="U38" s="5" t="s">
        <x:v>366</x:v>
      </x:c>
      <x:c r="V38" s="5" t="s">
        <x:v>367</x:v>
      </x:c>
    </x:row>
    <x:row r="39" ht="300" hidden="0" customHeight="1">
      <x:c r="A39" s="35" t="s">
        <x:v>570</x:v>
      </x:c>
      <x:c r="B39" s="36" t="s">
        <x:v>571</x:v>
      </x:c>
      <x:c r="C39" s="35" t="s">
        <x:v>572</x:v>
      </x:c>
      <x:c r="D39" s="35" t="s">
        <x:v>573</x:v>
      </x:c>
      <x:c r="E39" s="35" t="s">
        <x:v>574</x:v>
      </x:c>
      <x:c r="F39" s="37" t="s">
        <x:v>309</x:v>
      </x:c>
      <x:c r="G39" s="37"/>
      <x:c r="H39" s="35"/>
      <x:c r="I39" s="35"/>
      <x:c r="J39" s="35"/>
      <x:c r="K39" s="35"/>
      <x:c r="L39" s="16" t="s">
        <x:v>575</x:v>
      </x:c>
      <x:c r="M39" s="34" t="s">
        <x:v>576</x:v>
      </x:c>
      <x:c r="N39" s="34" t="s">
        <x:v>577</x:v>
      </x:c>
      <x:c r="O39" s="5" t="s">
        <x:v>312</x:v>
      </x:c>
      <x:c r="P39" s="5" t="s">
        <x:v>312</x:v>
      </x:c>
      <x:c r="Q39" s="5" t="s">
        <x:v>578</x:v>
      </x:c>
      <x:c r="R39" s="5" t="s">
        <x:v>579</x:v>
      </x:c>
      <x:c r="S39" s="5" t="s">
        <x:v>580</x:v>
      </x:c>
      <x:c r="T39" s="5" t="s">
        <x:v>581</x:v>
      </x:c>
      <x:c r="U39" s="5" t="s">
        <x:v>582</x:v>
      </x:c>
      <x:c r="V39" s="5" t="s">
        <x:v>583</x:v>
      </x:c>
    </x:row>
    <x:row r="40" ht="300" hidden="0" customHeight="1">
      <x:c r="A40" s="16" t="s">
        <x:v>570</x:v>
      </x:c>
      <x:c r="B40" s="15" t="s">
        <x:v>584</x:v>
      </x:c>
      <x:c r="C40" s="16" t="s">
        <x:v>585</x:v>
      </x:c>
      <x:c r="D40" s="16" t="s">
        <x:v>586</x:v>
      </x:c>
      <x:c r="E40" s="16" t="s">
        <x:v>574</x:v>
      </x:c>
      <x:c r="F40" s="33" t="s">
        <x:v>309</x:v>
      </x:c>
      <x:c r="G40" s="33"/>
      <x:c r="H40" s="16"/>
      <x:c r="I40" s="16"/>
      <x:c r="J40" s="16"/>
      <x:c r="K40" s="16"/>
      <x:c r="L40" s="16" t="s">
        <x:v>575</x:v>
      </x:c>
      <x:c r="M40" s="34" t="s">
        <x:v>587</x:v>
      </x:c>
      <x:c r="N40" s="34" t="s">
        <x:v>577</x:v>
      </x:c>
      <x:c r="O40" s="5" t="s">
        <x:v>312</x:v>
      </x:c>
      <x:c r="P40" s="5" t="s">
        <x:v>312</x:v>
      </x:c>
      <x:c r="Q40" s="5" t="s">
        <x:v>588</x:v>
      </x:c>
      <x:c r="R40" s="5" t="s">
        <x:v>579</x:v>
      </x:c>
      <x:c r="S40" s="5" t="s">
        <x:v>580</x:v>
      </x:c>
      <x:c r="T40" s="5" t="s">
        <x:v>581</x:v>
      </x:c>
      <x:c r="U40" s="5" t="s">
        <x:v>582</x:v>
      </x:c>
      <x:c r="V40" s="5" t="s">
        <x:v>583</x:v>
      </x:c>
    </x:row>
    <x:row r="41" ht="300" hidden="0" customHeight="1">
      <x:c r="A41" s="35" t="s">
        <x:v>570</x:v>
      </x:c>
      <x:c r="B41" s="36" t="s">
        <x:v>589</x:v>
      </x:c>
      <x:c r="C41" s="35" t="s">
        <x:v>590</x:v>
      </x:c>
      <x:c r="D41" s="35" t="s">
        <x:v>591</x:v>
      </x:c>
      <x:c r="E41" s="35" t="s">
        <x:v>574</x:v>
      </x:c>
      <x:c r="F41" s="37" t="s">
        <x:v>309</x:v>
      </x:c>
      <x:c r="G41" s="37"/>
      <x:c r="H41" s="35"/>
      <x:c r="I41" s="35"/>
      <x:c r="J41" s="35"/>
      <x:c r="K41" s="35"/>
      <x:c r="L41" s="16" t="s">
        <x:v>575</x:v>
      </x:c>
      <x:c r="M41" s="34" t="s">
        <x:v>592</x:v>
      </x:c>
      <x:c r="N41" s="34" t="s">
        <x:v>577</x:v>
      </x:c>
      <x:c r="O41" s="5" t="s">
        <x:v>312</x:v>
      </x:c>
      <x:c r="P41" s="5" t="s">
        <x:v>312</x:v>
      </x:c>
      <x:c r="Q41" s="5" t="s">
        <x:v>593</x:v>
      </x:c>
      <x:c r="R41" s="5" t="s">
        <x:v>579</x:v>
      </x:c>
      <x:c r="S41" s="5" t="s">
        <x:v>580</x:v>
      </x:c>
      <x:c r="T41" s="5" t="s">
        <x:v>581</x:v>
      </x:c>
      <x:c r="U41" s="5" t="s">
        <x:v>582</x:v>
      </x:c>
      <x:c r="V41" s="5" t="s">
        <x:v>583</x:v>
      </x:c>
    </x:row>
  </x:sheetData>
  <x:mergeCells>
    <x:mergeCell ref="A1:D1"/>
  </x:mergeCells>
  <x:dataValidations count="4">
    <x:dataValidation type="list" errorStyle="stop" operator="between" allowBlank="1" showDropDown="0" showInputMessage="0" showErrorMessage="0" sqref="O4:O41">
      <x:formula1>"Not tested,Adequate,Partially adequate,Inadequate,Not applicable"</x:formula1>
      <x:formula2>0</x:formula2>
    </x:dataValidation>
    <x:dataValidation type="list" errorStyle="stop" operator="between" allowBlank="1" showDropDown="0" showInputMessage="0" showErrorMessage="0" sqref="P4:P41">
      <x:formula1>"Not tested,Effective,Partially effective,Ineffective,Not applicable"</x:formula1>
      <x:formula2>0</x:formula2>
    </x:dataValidation>
    <x:dataValidation type="list" errorStyle="stop" operator="between" allowBlank="1" showDropDown="0" showInputMessage="0" showErrorMessage="0" sqref="F4:F41">
      <x:formula1>"Not started,In progress,Implemented,Operating effectively,Not applicable"</x:formula1>
      <x:formula2>0</x:formula2>
    </x:dataValidation>
    <x:dataValidation type="list" errorStyle="stop" operator="between" allowBlank="1" showDropDown="0" showInputMessage="0" showErrorMessage="0" sqref="G4:G41">
      <x:formula1>"1,2,3,4,5"</x:formula1>
      <x:formula2>0</x:formula2>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8.6796875" defaultRowHeight="15"/>
  <x:cols>
    <x:col min="1" max="1" width="12" style="1" hidden="0" customWidth="1"/>
    <x:col min="2" max="2" width="13" style="1" hidden="0" customWidth="1"/>
    <x:col min="3" max="3" width="40" style="1" hidden="0" customWidth="1"/>
    <x:col min="4" max="4" width="13" style="1" hidden="0" customWidth="1"/>
    <x:col min="5" max="5" width="55" style="1" hidden="0" customWidth="1"/>
    <x:col min="6" max="6" width="24" style="1" hidden="0" customWidth="1"/>
    <x:col min="7" max="7" width="18" style="1" hidden="0" customWidth="1"/>
    <x:col min="8" max="8" width="12" style="1" hidden="0" customWidth="1"/>
    <x:col min="9" max="9" width="26" style="1" hidden="0" customWidth="1"/>
    <x:col min="10" max="11" width="13" style="1" hidden="0" customWidth="1"/>
    <x:col min="12" max="12" width="30" style="1" hidden="0" customWidth="1"/>
    <x:col min="13" max="13" width="16" style="1" hidden="0" customWidth="1"/>
    <x:col min="14" max="15" width="42" style="1" hidden="0" customWidth="1"/>
    <x:col min="16" max="17" width="18" style="1" hidden="0" customWidth="1"/>
    <x:col min="18" max="18" width="62" style="1" hidden="0" customWidth="1"/>
    <x:col min="19" max="19" width="52" style="1" hidden="0" customWidth="1"/>
    <x:col min="20" max="21" width="62" style="1" hidden="0" customWidth="1"/>
    <x:col min="22" max="22" width="56" style="1" hidden="0" customWidth="1"/>
    <x:col min="23" max="23" width="26" style="1" hidden="0" customWidth="1"/>
  </x:cols>
  <x:sheetData>
    <x:row r="1" ht="15.75" hidden="0" customHeight="1">
      <x:c r="A1" s="13" t="s">
        <x:v>594</x:v>
      </x:c>
      <x:c r="B1" s="13"/>
      <x:c r="C1" s="13"/>
      <x:c r="D1" s="13"/>
      <x:c r="E1" s="13"/>
    </x:row>
    <x:row r="3" ht="23.25" hidden="0" customHeight="1">
      <x:c r="A3" s="38" t="s">
        <x:v>595</x:v>
      </x:c>
      <x:c r="B3" s="38" t="s">
        <x:v>596</x:v>
      </x:c>
      <x:c r="C3" s="38" t="s">
        <x:v>597</x:v>
      </x:c>
      <x:c r="D3" s="38" t="s">
        <x:v>598</x:v>
      </x:c>
      <x:c r="E3" s="38" t="s">
        <x:v>599</x:v>
      </x:c>
      <x:c r="F3" s="38" t="s">
        <x:v>286</x:v>
      </x:c>
      <x:c r="G3" s="38" t="s">
        <x:v>287</x:v>
      </x:c>
      <x:c r="H3" s="38" t="s">
        <x:v>288</x:v>
      </x:c>
      <x:c r="I3" s="38" t="s">
        <x:v>289</x:v>
      </x:c>
      <x:c r="J3" s="38" t="s">
        <x:v>290</x:v>
      </x:c>
      <x:c r="K3" s="38" t="s">
        <x:v>291</x:v>
      </x:c>
      <x:c r="L3" s="38" t="s">
        <x:v>292</x:v>
      </x:c>
      <x:c r="M3" s="38" t="s">
        <x:v>293</x:v>
      </x:c>
      <x:c r="N3" s="38" t="s">
        <x:v>294</x:v>
      </x:c>
      <x:c r="O3" s="38" t="s">
        <x:v>295</x:v>
      </x:c>
      <x:c r="P3" s="32" t="s">
        <x:v>296</x:v>
      </x:c>
      <x:c r="Q3" s="32" t="s">
        <x:v>297</x:v>
      </x:c>
      <x:c r="R3" s="32" t="s">
        <x:v>298</x:v>
      </x:c>
      <x:c r="S3" s="32" t="s">
        <x:v>299</x:v>
      </x:c>
      <x:c r="T3" s="32" t="s">
        <x:v>300</x:v>
      </x:c>
      <x:c r="U3" s="32" t="s">
        <x:v>301</x:v>
      </x:c>
      <x:c r="V3" s="32" t="s">
        <x:v>302</x:v>
      </x:c>
      <x:c r="W3" s="32" t="s">
        <x:v>303</x:v>
      </x:c>
    </x:row>
    <x:row r="4" ht="300" hidden="0" customHeight="1">
      <x:c r="A4" s="16" t="s">
        <x:v>600</x:v>
      </x:c>
      <x:c r="B4" s="15" t="s">
        <x:v>601</x:v>
      </x:c>
      <x:c r="C4" s="16" t="s">
        <x:v>602</x:v>
      </x:c>
      <x:c r="D4" s="16" t="s">
        <x:v>603</x:v>
      </x:c>
      <x:c r="E4" s="16" t="s">
        <x:v>604</x:v>
      </x:c>
      <x:c r="F4" s="16" t="s">
        <x:v>605</x:v>
      </x:c>
      <x:c r="G4" s="33" t="s">
        <x:v>309</x:v>
      </x:c>
      <x:c r="H4" s="33"/>
      <x:c r="I4" s="16"/>
      <x:c r="J4" s="16"/>
      <x:c r="K4" s="16"/>
      <x:c r="L4" s="16"/>
      <x:c r="M4" s="16"/>
      <x:c r="N4" s="34" t="s">
        <x:v>606</x:v>
      </x:c>
      <x:c r="O4" s="34" t="s">
        <x:v>311</x:v>
      </x:c>
      <x:c r="P4" s="5" t="s">
        <x:v>312</x:v>
      </x:c>
      <x:c r="Q4" s="5" t="s">
        <x:v>312</x:v>
      </x:c>
      <x:c r="R4" s="5" t="s">
        <x:v>607</x:v>
      </x:c>
      <x:c r="S4" s="5" t="s">
        <x:v>314</x:v>
      </x:c>
      <x:c r="T4" s="5" t="s">
        <x:v>315</x:v>
      </x:c>
      <x:c r="U4" s="5" t="s">
        <x:v>316</x:v>
      </x:c>
      <x:c r="V4" s="5" t="s">
        <x:v>317</x:v>
      </x:c>
      <x:c r="W4" s="5" t="s">
        <x:v>318</x:v>
      </x:c>
    </x:row>
    <x:row r="5" ht="300" hidden="0" customHeight="1">
      <x:c r="A5" s="35" t="s">
        <x:v>600</x:v>
      </x:c>
      <x:c r="B5" s="36" t="s">
        <x:v>601</x:v>
      </x:c>
      <x:c r="C5" s="35"/>
      <x:c r="D5" s="35" t="s">
        <x:v>608</x:v>
      </x:c>
      <x:c r="E5" s="35" t="s">
        <x:v>609</x:v>
      </x:c>
      <x:c r="F5" s="35" t="s">
        <x:v>605</x:v>
      </x:c>
      <x:c r="G5" s="37" t="s">
        <x:v>309</x:v>
      </x:c>
      <x:c r="H5" s="37"/>
      <x:c r="I5" s="35"/>
      <x:c r="J5" s="35"/>
      <x:c r="K5" s="35"/>
      <x:c r="L5" s="35"/>
      <x:c r="M5" s="16"/>
      <x:c r="N5" s="34" t="s">
        <x:v>610</x:v>
      </x:c>
      <x:c r="O5" s="34" t="s">
        <x:v>311</x:v>
      </x:c>
      <x:c r="P5" s="5" t="s">
        <x:v>312</x:v>
      </x:c>
      <x:c r="Q5" s="5" t="s">
        <x:v>312</x:v>
      </x:c>
      <x:c r="R5" s="5" t="s">
        <x:v>611</x:v>
      </x:c>
      <x:c r="S5" s="5" t="s">
        <x:v>314</x:v>
      </x:c>
      <x:c r="T5" s="5" t="s">
        <x:v>315</x:v>
      </x:c>
      <x:c r="U5" s="5" t="s">
        <x:v>316</x:v>
      </x:c>
      <x:c r="V5" s="5" t="s">
        <x:v>317</x:v>
      </x:c>
      <x:c r="W5" s="5" t="s">
        <x:v>318</x:v>
      </x:c>
    </x:row>
    <x:row r="6" ht="300" hidden="0" customHeight="1">
      <x:c r="A6" s="16" t="s">
        <x:v>600</x:v>
      </x:c>
      <x:c r="B6" s="15" t="s">
        <x:v>601</x:v>
      </x:c>
      <x:c r="C6" s="16"/>
      <x:c r="D6" s="16" t="s">
        <x:v>612</x:v>
      </x:c>
      <x:c r="E6" s="16" t="s">
        <x:v>613</x:v>
      </x:c>
      <x:c r="F6" s="16" t="s">
        <x:v>605</x:v>
      </x:c>
      <x:c r="G6" s="33" t="s">
        <x:v>309</x:v>
      </x:c>
      <x:c r="H6" s="33"/>
      <x:c r="I6" s="16"/>
      <x:c r="J6" s="16"/>
      <x:c r="K6" s="16"/>
      <x:c r="L6" s="16"/>
      <x:c r="M6" s="16"/>
      <x:c r="N6" s="34" t="s">
        <x:v>614</x:v>
      </x:c>
      <x:c r="O6" s="34" t="s">
        <x:v>335</x:v>
      </x:c>
      <x:c r="P6" s="5" t="s">
        <x:v>312</x:v>
      </x:c>
      <x:c r="Q6" s="5" t="s">
        <x:v>312</x:v>
      </x:c>
      <x:c r="R6" s="5" t="s">
        <x:v>615</x:v>
      </x:c>
      <x:c r="S6" s="5" t="s">
        <x:v>337</x:v>
      </x:c>
      <x:c r="T6" s="5" t="s">
        <x:v>338</x:v>
      </x:c>
      <x:c r="U6" s="5" t="s">
        <x:v>339</x:v>
      </x:c>
      <x:c r="V6" s="5" t="s">
        <x:v>340</x:v>
      </x:c>
      <x:c r="W6" s="5" t="s">
        <x:v>341</x:v>
      </x:c>
    </x:row>
    <x:row r="7" ht="300" hidden="0" customHeight="1">
      <x:c r="A7" s="35" t="s">
        <x:v>600</x:v>
      </x:c>
      <x:c r="B7" s="36" t="s">
        <x:v>601</x:v>
      </x:c>
      <x:c r="C7" s="35"/>
      <x:c r="D7" s="35" t="s">
        <x:v>616</x:v>
      </x:c>
      <x:c r="E7" s="35" t="s">
        <x:v>617</x:v>
      </x:c>
      <x:c r="F7" s="35" t="s">
        <x:v>605</x:v>
      </x:c>
      <x:c r="G7" s="37" t="s">
        <x:v>309</x:v>
      </x:c>
      <x:c r="H7" s="37"/>
      <x:c r="I7" s="35"/>
      <x:c r="J7" s="35"/>
      <x:c r="K7" s="35"/>
      <x:c r="L7" s="35"/>
      <x:c r="M7" s="16"/>
      <x:c r="N7" s="34" t="s">
        <x:v>618</x:v>
      </x:c>
      <x:c r="O7" s="34" t="s">
        <x:v>311</x:v>
      </x:c>
      <x:c r="P7" s="5" t="s">
        <x:v>312</x:v>
      </x:c>
      <x:c r="Q7" s="5" t="s">
        <x:v>312</x:v>
      </x:c>
      <x:c r="R7" s="5" t="s">
        <x:v>619</x:v>
      </x:c>
      <x:c r="S7" s="5" t="s">
        <x:v>314</x:v>
      </x:c>
      <x:c r="T7" s="5" t="s">
        <x:v>315</x:v>
      </x:c>
      <x:c r="U7" s="5" t="s">
        <x:v>316</x:v>
      </x:c>
      <x:c r="V7" s="5" t="s">
        <x:v>317</x:v>
      </x:c>
      <x:c r="W7" s="5" t="s">
        <x:v>318</x:v>
      </x:c>
    </x:row>
    <x:row r="8" ht="300" hidden="0" customHeight="1">
      <x:c r="A8" s="16" t="s">
        <x:v>600</x:v>
      </x:c>
      <x:c r="B8" s="15" t="s">
        <x:v>601</x:v>
      </x:c>
      <x:c r="C8" s="16"/>
      <x:c r="D8" s="16" t="s">
        <x:v>620</x:v>
      </x:c>
      <x:c r="E8" s="16" t="s">
        <x:v>621</x:v>
      </x:c>
      <x:c r="F8" s="16" t="s">
        <x:v>605</x:v>
      </x:c>
      <x:c r="G8" s="33" t="s">
        <x:v>309</x:v>
      </x:c>
      <x:c r="H8" s="33"/>
      <x:c r="I8" s="16"/>
      <x:c r="J8" s="16"/>
      <x:c r="K8" s="16"/>
      <x:c r="L8" s="16"/>
      <x:c r="M8" s="16"/>
      <x:c r="N8" s="34" t="s">
        <x:v>622</x:v>
      </x:c>
      <x:c r="O8" s="34" t="s">
        <x:v>335</x:v>
      </x:c>
      <x:c r="P8" s="5" t="s">
        <x:v>312</x:v>
      </x:c>
      <x:c r="Q8" s="5" t="s">
        <x:v>312</x:v>
      </x:c>
      <x:c r="R8" s="5" t="s">
        <x:v>623</x:v>
      </x:c>
      <x:c r="S8" s="5" t="s">
        <x:v>337</x:v>
      </x:c>
      <x:c r="T8" s="5" t="s">
        <x:v>338</x:v>
      </x:c>
      <x:c r="U8" s="5" t="s">
        <x:v>339</x:v>
      </x:c>
      <x:c r="V8" s="5" t="s">
        <x:v>340</x:v>
      </x:c>
      <x:c r="W8" s="5" t="s">
        <x:v>341</x:v>
      </x:c>
    </x:row>
    <x:row r="9" ht="285" hidden="0" customHeight="1">
      <x:c r="A9" s="35" t="s">
        <x:v>600</x:v>
      </x:c>
      <x:c r="B9" s="36" t="s">
        <x:v>601</x:v>
      </x:c>
      <x:c r="C9" s="35"/>
      <x:c r="D9" s="35" t="s">
        <x:v>624</x:v>
      </x:c>
      <x:c r="E9" s="35" t="s">
        <x:v>625</x:v>
      </x:c>
      <x:c r="F9" s="35" t="s">
        <x:v>605</x:v>
      </x:c>
      <x:c r="G9" s="37" t="s">
        <x:v>309</x:v>
      </x:c>
      <x:c r="H9" s="37"/>
      <x:c r="I9" s="35"/>
      <x:c r="J9" s="35"/>
      <x:c r="K9" s="35"/>
      <x:c r="L9" s="35"/>
      <x:c r="M9" s="16" t="s">
        <x:v>359</x:v>
      </x:c>
      <x:c r="N9" s="34" t="s">
        <x:v>626</x:v>
      </x:c>
      <x:c r="O9" s="34" t="s">
        <x:v>627</x:v>
      </x:c>
      <x:c r="P9" s="5" t="s">
        <x:v>312</x:v>
      </x:c>
      <x:c r="Q9" s="5" t="s">
        <x:v>312</x:v>
      </x:c>
      <x:c r="R9" s="5" t="s">
        <x:v>628</x:v>
      </x:c>
      <x:c r="S9" s="5" t="s">
        <x:v>629</x:v>
      </x:c>
      <x:c r="T9" s="5" t="s">
        <x:v>630</x:v>
      </x:c>
      <x:c r="U9" s="5" t="s">
        <x:v>631</x:v>
      </x:c>
      <x:c r="V9" s="5" t="s">
        <x:v>632</x:v>
      </x:c>
      <x:c r="W9" s="5" t="s">
        <x:v>633</x:v>
      </x:c>
    </x:row>
    <x:row r="10" ht="300" hidden="0" customHeight="1">
      <x:c r="A10" s="16" t="s">
        <x:v>600</x:v>
      </x:c>
      <x:c r="B10" s="15" t="s">
        <x:v>601</x:v>
      </x:c>
      <x:c r="C10" s="16"/>
      <x:c r="D10" s="16" t="s">
        <x:v>634</x:v>
      </x:c>
      <x:c r="E10" s="16" t="s">
        <x:v>635</x:v>
      </x:c>
      <x:c r="F10" s="16" t="s">
        <x:v>605</x:v>
      </x:c>
      <x:c r="G10" s="33" t="s">
        <x:v>309</x:v>
      </x:c>
      <x:c r="H10" s="33"/>
      <x:c r="I10" s="16"/>
      <x:c r="J10" s="16"/>
      <x:c r="K10" s="16"/>
      <x:c r="L10" s="16"/>
      <x:c r="M10" s="16" t="s">
        <x:v>636</x:v>
      </x:c>
      <x:c r="N10" s="34" t="s">
        <x:v>637</x:v>
      </x:c>
      <x:c r="O10" s="34" t="s">
        <x:v>400</x:v>
      </x:c>
      <x:c r="P10" s="5" t="s">
        <x:v>312</x:v>
      </x:c>
      <x:c r="Q10" s="5" t="s">
        <x:v>312</x:v>
      </x:c>
      <x:c r="R10" s="5" t="s">
        <x:v>638</x:v>
      </x:c>
      <x:c r="S10" s="5" t="s">
        <x:v>402</x:v>
      </x:c>
      <x:c r="T10" s="5" t="s">
        <x:v>403</x:v>
      </x:c>
      <x:c r="U10" s="5" t="s">
        <x:v>404</x:v>
      </x:c>
      <x:c r="V10" s="5" t="s">
        <x:v>405</x:v>
      </x:c>
      <x:c r="W10" s="5" t="s">
        <x:v>406</x:v>
      </x:c>
    </x:row>
    <x:row r="11" ht="300" hidden="0" customHeight="1">
      <x:c r="A11" s="35" t="s">
        <x:v>600</x:v>
      </x:c>
      <x:c r="B11" s="36" t="s">
        <x:v>639</x:v>
      </x:c>
      <x:c r="C11" s="35" t="s">
        <x:v>640</x:v>
      </x:c>
      <x:c r="D11" s="35" t="s">
        <x:v>641</x:v>
      </x:c>
      <x:c r="E11" s="35" t="s">
        <x:v>642</x:v>
      </x:c>
      <x:c r="F11" s="35" t="s">
        <x:v>605</x:v>
      </x:c>
      <x:c r="G11" s="37" t="s">
        <x:v>309</x:v>
      </x:c>
      <x:c r="H11" s="37"/>
      <x:c r="I11" s="35"/>
      <x:c r="J11" s="35"/>
      <x:c r="K11" s="35"/>
      <x:c r="L11" s="35"/>
      <x:c r="M11" s="16"/>
      <x:c r="N11" s="34" t="s">
        <x:v>643</x:v>
      </x:c>
      <x:c r="O11" s="34" t="s">
        <x:v>335</x:v>
      </x:c>
      <x:c r="P11" s="5" t="s">
        <x:v>312</x:v>
      </x:c>
      <x:c r="Q11" s="5" t="s">
        <x:v>312</x:v>
      </x:c>
      <x:c r="R11" s="5" t="s">
        <x:v>644</x:v>
      </x:c>
      <x:c r="S11" s="5" t="s">
        <x:v>337</x:v>
      </x:c>
      <x:c r="T11" s="5" t="s">
        <x:v>338</x:v>
      </x:c>
      <x:c r="U11" s="5" t="s">
        <x:v>339</x:v>
      </x:c>
      <x:c r="V11" s="5" t="s">
        <x:v>340</x:v>
      </x:c>
      <x:c r="W11" s="5" t="s">
        <x:v>341</x:v>
      </x:c>
    </x:row>
    <x:row r="12" ht="300" hidden="0" customHeight="1">
      <x:c r="A12" s="16" t="s">
        <x:v>600</x:v>
      </x:c>
      <x:c r="B12" s="15" t="s">
        <x:v>639</x:v>
      </x:c>
      <x:c r="C12" s="16"/>
      <x:c r="D12" s="16" t="s">
        <x:v>645</x:v>
      </x:c>
      <x:c r="E12" s="16" t="s">
        <x:v>646</x:v>
      </x:c>
      <x:c r="F12" s="16" t="s">
        <x:v>605</x:v>
      </x:c>
      <x:c r="G12" s="33" t="s">
        <x:v>309</x:v>
      </x:c>
      <x:c r="H12" s="33"/>
      <x:c r="I12" s="16"/>
      <x:c r="J12" s="16"/>
      <x:c r="K12" s="16"/>
      <x:c r="L12" s="16"/>
      <x:c r="M12" s="16"/>
      <x:c r="N12" s="34" t="s">
        <x:v>647</x:v>
      </x:c>
      <x:c r="O12" s="34" t="s">
        <x:v>311</x:v>
      </x:c>
      <x:c r="P12" s="5" t="s">
        <x:v>312</x:v>
      </x:c>
      <x:c r="Q12" s="5" t="s">
        <x:v>312</x:v>
      </x:c>
      <x:c r="R12" s="5" t="s">
        <x:v>648</x:v>
      </x:c>
      <x:c r="S12" s="5" t="s">
        <x:v>314</x:v>
      </x:c>
      <x:c r="T12" s="5" t="s">
        <x:v>315</x:v>
      </x:c>
      <x:c r="U12" s="5" t="s">
        <x:v>316</x:v>
      </x:c>
      <x:c r="V12" s="5" t="s">
        <x:v>317</x:v>
      </x:c>
      <x:c r="W12" s="5" t="s">
        <x:v>318</x:v>
      </x:c>
    </x:row>
    <x:row r="13" ht="300" hidden="0" customHeight="1">
      <x:c r="A13" s="35" t="s">
        <x:v>600</x:v>
      </x:c>
      <x:c r="B13" s="36" t="s">
        <x:v>639</x:v>
      </x:c>
      <x:c r="C13" s="35"/>
      <x:c r="D13" s="35" t="s">
        <x:v>649</x:v>
      </x:c>
      <x:c r="E13" s="35" t="s">
        <x:v>650</x:v>
      </x:c>
      <x:c r="F13" s="35" t="s">
        <x:v>605</x:v>
      </x:c>
      <x:c r="G13" s="37" t="s">
        <x:v>309</x:v>
      </x:c>
      <x:c r="H13" s="37"/>
      <x:c r="I13" s="35"/>
      <x:c r="J13" s="35"/>
      <x:c r="K13" s="35"/>
      <x:c r="L13" s="35"/>
      <x:c r="M13" s="16"/>
      <x:c r="N13" s="34" t="s">
        <x:v>651</x:v>
      </x:c>
      <x:c r="O13" s="34" t="s">
        <x:v>400</x:v>
      </x:c>
      <x:c r="P13" s="5" t="s">
        <x:v>312</x:v>
      </x:c>
      <x:c r="Q13" s="5" t="s">
        <x:v>312</x:v>
      </x:c>
      <x:c r="R13" s="5" t="s">
        <x:v>652</x:v>
      </x:c>
      <x:c r="S13" s="5" t="s">
        <x:v>402</x:v>
      </x:c>
      <x:c r="T13" s="5" t="s">
        <x:v>403</x:v>
      </x:c>
      <x:c r="U13" s="5" t="s">
        <x:v>404</x:v>
      </x:c>
      <x:c r="V13" s="5" t="s">
        <x:v>405</x:v>
      </x:c>
      <x:c r="W13" s="5" t="s">
        <x:v>406</x:v>
      </x:c>
    </x:row>
    <x:row r="14" ht="300" hidden="0" customHeight="1">
      <x:c r="A14" s="16" t="s">
        <x:v>600</x:v>
      </x:c>
      <x:c r="B14" s="15" t="s">
        <x:v>653</x:v>
      </x:c>
      <x:c r="C14" s="16" t="s">
        <x:v>654</x:v>
      </x:c>
      <x:c r="D14" s="16" t="s">
        <x:v>655</x:v>
      </x:c>
      <x:c r="E14" s="16" t="s">
        <x:v>656</x:v>
      </x:c>
      <x:c r="F14" s="16" t="s">
        <x:v>605</x:v>
      </x:c>
      <x:c r="G14" s="33" t="s">
        <x:v>309</x:v>
      </x:c>
      <x:c r="H14" s="33"/>
      <x:c r="I14" s="16"/>
      <x:c r="J14" s="16"/>
      <x:c r="K14" s="16"/>
      <x:c r="L14" s="16"/>
      <x:c r="M14" s="16"/>
      <x:c r="N14" s="34" t="s">
        <x:v>657</x:v>
      </x:c>
      <x:c r="O14" s="34" t="s">
        <x:v>658</x:v>
      </x:c>
      <x:c r="P14" s="5" t="s">
        <x:v>312</x:v>
      </x:c>
      <x:c r="Q14" s="5" t="s">
        <x:v>312</x:v>
      </x:c>
      <x:c r="R14" s="5" t="s">
        <x:v>659</x:v>
      </x:c>
      <x:c r="S14" s="5" t="s">
        <x:v>660</x:v>
      </x:c>
      <x:c r="T14" s="5" t="s">
        <x:v>661</x:v>
      </x:c>
      <x:c r="U14" s="5" t="s">
        <x:v>662</x:v>
      </x:c>
      <x:c r="V14" s="5" t="s">
        <x:v>663</x:v>
      </x:c>
      <x:c r="W14" s="5" t="s">
        <x:v>664</x:v>
      </x:c>
    </x:row>
    <x:row r="15" ht="300" hidden="0" customHeight="1">
      <x:c r="A15" s="35" t="s">
        <x:v>600</x:v>
      </x:c>
      <x:c r="B15" s="36" t="s">
        <x:v>653</x:v>
      </x:c>
      <x:c r="C15" s="35"/>
      <x:c r="D15" s="35" t="s">
        <x:v>665</x:v>
      </x:c>
      <x:c r="E15" s="35" t="s">
        <x:v>666</x:v>
      </x:c>
      <x:c r="F15" s="35" t="s">
        <x:v>605</x:v>
      </x:c>
      <x:c r="G15" s="37" t="s">
        <x:v>309</x:v>
      </x:c>
      <x:c r="H15" s="37"/>
      <x:c r="I15" s="35"/>
      <x:c r="J15" s="35"/>
      <x:c r="K15" s="35"/>
      <x:c r="L15" s="35"/>
      <x:c r="M15" s="16"/>
      <x:c r="N15" s="34" t="s">
        <x:v>667</x:v>
      </x:c>
      <x:c r="O15" s="34" t="s">
        <x:v>335</x:v>
      </x:c>
      <x:c r="P15" s="5" t="s">
        <x:v>312</x:v>
      </x:c>
      <x:c r="Q15" s="5" t="s">
        <x:v>312</x:v>
      </x:c>
      <x:c r="R15" s="5" t="s">
        <x:v>668</x:v>
      </x:c>
      <x:c r="S15" s="5" t="s">
        <x:v>337</x:v>
      </x:c>
      <x:c r="T15" s="5" t="s">
        <x:v>338</x:v>
      </x:c>
      <x:c r="U15" s="5" t="s">
        <x:v>339</x:v>
      </x:c>
      <x:c r="V15" s="5" t="s">
        <x:v>340</x:v>
      </x:c>
      <x:c r="W15" s="5" t="s">
        <x:v>341</x:v>
      </x:c>
    </x:row>
    <x:row r="16" ht="300" hidden="0" customHeight="1">
      <x:c r="A16" s="16" t="s">
        <x:v>600</x:v>
      </x:c>
      <x:c r="B16" s="15" t="s">
        <x:v>669</x:v>
      </x:c>
      <x:c r="C16" s="16" t="s">
        <x:v>670</x:v>
      </x:c>
      <x:c r="D16" s="16" t="s">
        <x:v>671</x:v>
      </x:c>
      <x:c r="E16" s="16" t="s">
        <x:v>672</x:v>
      </x:c>
      <x:c r="F16" s="16" t="s">
        <x:v>605</x:v>
      </x:c>
      <x:c r="G16" s="33" t="s">
        <x:v>309</x:v>
      </x:c>
      <x:c r="H16" s="33"/>
      <x:c r="I16" s="16"/>
      <x:c r="J16" s="16"/>
      <x:c r="K16" s="16"/>
      <x:c r="L16" s="16"/>
      <x:c r="M16" s="16"/>
      <x:c r="N16" s="34" t="s">
        <x:v>673</x:v>
      </x:c>
      <x:c r="O16" s="34" t="s">
        <x:v>311</x:v>
      </x:c>
      <x:c r="P16" s="5" t="s">
        <x:v>312</x:v>
      </x:c>
      <x:c r="Q16" s="5" t="s">
        <x:v>312</x:v>
      </x:c>
      <x:c r="R16" s="5" t="s">
        <x:v>674</x:v>
      </x:c>
      <x:c r="S16" s="5" t="s">
        <x:v>314</x:v>
      </x:c>
      <x:c r="T16" s="5" t="s">
        <x:v>315</x:v>
      </x:c>
      <x:c r="U16" s="5" t="s">
        <x:v>316</x:v>
      </x:c>
      <x:c r="V16" s="5" t="s">
        <x:v>317</x:v>
      </x:c>
      <x:c r="W16" s="5" t="s">
        <x:v>318</x:v>
      </x:c>
    </x:row>
    <x:row r="17" ht="300" hidden="0" customHeight="1">
      <x:c r="A17" s="35" t="s">
        <x:v>600</x:v>
      </x:c>
      <x:c r="B17" s="36" t="s">
        <x:v>669</x:v>
      </x:c>
      <x:c r="C17" s="35"/>
      <x:c r="D17" s="35" t="s">
        <x:v>675</x:v>
      </x:c>
      <x:c r="E17" s="35" t="s">
        <x:v>676</x:v>
      </x:c>
      <x:c r="F17" s="35" t="s">
        <x:v>605</x:v>
      </x:c>
      <x:c r="G17" s="37" t="s">
        <x:v>309</x:v>
      </x:c>
      <x:c r="H17" s="37"/>
      <x:c r="I17" s="35"/>
      <x:c r="J17" s="35"/>
      <x:c r="K17" s="35"/>
      <x:c r="L17" s="35"/>
      <x:c r="M17" s="16"/>
      <x:c r="N17" s="34" t="s">
        <x:v>677</x:v>
      </x:c>
      <x:c r="O17" s="34" t="s">
        <x:v>361</x:v>
      </x:c>
      <x:c r="P17" s="5" t="s">
        <x:v>312</x:v>
      </x:c>
      <x:c r="Q17" s="5" t="s">
        <x:v>312</x:v>
      </x:c>
      <x:c r="R17" s="5" t="s">
        <x:v>678</x:v>
      </x:c>
      <x:c r="S17" s="5" t="s">
        <x:v>363</x:v>
      </x:c>
      <x:c r="T17" s="5" t="s">
        <x:v>364</x:v>
      </x:c>
      <x:c r="U17" s="5" t="s">
        <x:v>365</x:v>
      </x:c>
      <x:c r="V17" s="5" t="s">
        <x:v>366</x:v>
      </x:c>
      <x:c r="W17" s="5" t="s">
        <x:v>367</x:v>
      </x:c>
    </x:row>
    <x:row r="18" ht="300" hidden="0" customHeight="1">
      <x:c r="A18" s="16" t="s">
        <x:v>600</x:v>
      </x:c>
      <x:c r="B18" s="15" t="s">
        <x:v>669</x:v>
      </x:c>
      <x:c r="C18" s="16"/>
      <x:c r="D18" s="16" t="s">
        <x:v>679</x:v>
      </x:c>
      <x:c r="E18" s="16" t="s">
        <x:v>680</x:v>
      </x:c>
      <x:c r="F18" s="16" t="s">
        <x:v>605</x:v>
      </x:c>
      <x:c r="G18" s="33" t="s">
        <x:v>309</x:v>
      </x:c>
      <x:c r="H18" s="33"/>
      <x:c r="I18" s="16"/>
      <x:c r="J18" s="16"/>
      <x:c r="K18" s="16"/>
      <x:c r="L18" s="16"/>
      <x:c r="M18" s="16" t="s">
        <x:v>345</x:v>
      </x:c>
      <x:c r="N18" s="34" t="s">
        <x:v>681</x:v>
      </x:c>
      <x:c r="O18" s="34" t="s">
        <x:v>458</x:v>
      </x:c>
      <x:c r="P18" s="5" t="s">
        <x:v>312</x:v>
      </x:c>
      <x:c r="Q18" s="5" t="s">
        <x:v>312</x:v>
      </x:c>
      <x:c r="R18" s="5" t="s">
        <x:v>682</x:v>
      </x:c>
      <x:c r="S18" s="5" t="s">
        <x:v>460</x:v>
      </x:c>
      <x:c r="T18" s="5" t="s">
        <x:v>461</x:v>
      </x:c>
      <x:c r="U18" s="5" t="s">
        <x:v>462</x:v>
      </x:c>
      <x:c r="V18" s="5" t="s">
        <x:v>463</x:v>
      </x:c>
      <x:c r="W18" s="5" t="s">
        <x:v>464</x:v>
      </x:c>
    </x:row>
    <x:row r="19" ht="300" hidden="0" customHeight="1">
      <x:c r="A19" s="35" t="s">
        <x:v>600</x:v>
      </x:c>
      <x:c r="B19" s="36" t="s">
        <x:v>683</x:v>
      </x:c>
      <x:c r="C19" s="35" t="s">
        <x:v>684</x:v>
      </x:c>
      <x:c r="D19" s="35" t="s">
        <x:v>685</x:v>
      </x:c>
      <x:c r="E19" s="35" t="s">
        <x:v>686</x:v>
      </x:c>
      <x:c r="F19" s="35" t="s">
        <x:v>605</x:v>
      </x:c>
      <x:c r="G19" s="37" t="s">
        <x:v>309</x:v>
      </x:c>
      <x:c r="H19" s="37"/>
      <x:c r="I19" s="35"/>
      <x:c r="J19" s="35"/>
      <x:c r="K19" s="35"/>
      <x:c r="L19" s="35"/>
      <x:c r="M19" s="16" t="s">
        <x:v>398</x:v>
      </x:c>
      <x:c r="N19" s="34" t="s">
        <x:v>687</x:v>
      </x:c>
      <x:c r="O19" s="34" t="s">
        <x:v>311</x:v>
      </x:c>
      <x:c r="P19" s="5" t="s">
        <x:v>312</x:v>
      </x:c>
      <x:c r="Q19" s="5" t="s">
        <x:v>312</x:v>
      </x:c>
      <x:c r="R19" s="5" t="s">
        <x:v>688</x:v>
      </x:c>
      <x:c r="S19" s="5" t="s">
        <x:v>314</x:v>
      </x:c>
      <x:c r="T19" s="5" t="s">
        <x:v>315</x:v>
      </x:c>
      <x:c r="U19" s="5" t="s">
        <x:v>316</x:v>
      </x:c>
      <x:c r="V19" s="5" t="s">
        <x:v>317</x:v>
      </x:c>
      <x:c r="W19" s="5" t="s">
        <x:v>318</x:v>
      </x:c>
    </x:row>
    <x:row r="20" ht="300" hidden="0" customHeight="1">
      <x:c r="A20" s="16" t="s">
        <x:v>600</x:v>
      </x:c>
      <x:c r="B20" s="15" t="s">
        <x:v>683</x:v>
      </x:c>
      <x:c r="C20" s="16"/>
      <x:c r="D20" s="16" t="s">
        <x:v>689</x:v>
      </x:c>
      <x:c r="E20" s="16" t="s">
        <x:v>690</x:v>
      </x:c>
      <x:c r="F20" s="16" t="s">
        <x:v>605</x:v>
      </x:c>
      <x:c r="G20" s="33" t="s">
        <x:v>309</x:v>
      </x:c>
      <x:c r="H20" s="33"/>
      <x:c r="I20" s="16"/>
      <x:c r="J20" s="16"/>
      <x:c r="K20" s="16"/>
      <x:c r="L20" s="16"/>
      <x:c r="M20" s="16"/>
      <x:c r="N20" s="34" t="s">
        <x:v>691</x:v>
      </x:c>
      <x:c r="O20" s="34" t="s">
        <x:v>400</x:v>
      </x:c>
      <x:c r="P20" s="5" t="s">
        <x:v>312</x:v>
      </x:c>
      <x:c r="Q20" s="5" t="s">
        <x:v>312</x:v>
      </x:c>
      <x:c r="R20" s="5" t="s">
        <x:v>692</x:v>
      </x:c>
      <x:c r="S20" s="5" t="s">
        <x:v>402</x:v>
      </x:c>
      <x:c r="T20" s="5" t="s">
        <x:v>403</x:v>
      </x:c>
      <x:c r="U20" s="5" t="s">
        <x:v>404</x:v>
      </x:c>
      <x:c r="V20" s="5" t="s">
        <x:v>405</x:v>
      </x:c>
      <x:c r="W20" s="5" t="s">
        <x:v>406</x:v>
      </x:c>
    </x:row>
    <x:row r="21" ht="300" hidden="0" customHeight="1">
      <x:c r="A21" s="35" t="s">
        <x:v>600</x:v>
      </x:c>
      <x:c r="B21" s="36" t="s">
        <x:v>693</x:v>
      </x:c>
      <x:c r="C21" s="35" t="s">
        <x:v>694</x:v>
      </x:c>
      <x:c r="D21" s="35" t="s">
        <x:v>695</x:v>
      </x:c>
      <x:c r="E21" s="35" t="s">
        <x:v>696</x:v>
      </x:c>
      <x:c r="F21" s="35" t="s">
        <x:v>605</x:v>
      </x:c>
      <x:c r="G21" s="37" t="s">
        <x:v>309</x:v>
      </x:c>
      <x:c r="H21" s="37"/>
      <x:c r="I21" s="35"/>
      <x:c r="J21" s="35"/>
      <x:c r="K21" s="35"/>
      <x:c r="L21" s="35"/>
      <x:c r="M21" s="16" t="s">
        <x:v>575</x:v>
      </x:c>
      <x:c r="N21" s="34" t="s">
        <x:v>697</x:v>
      </x:c>
      <x:c r="O21" s="34" t="s">
        <x:v>577</x:v>
      </x:c>
      <x:c r="P21" s="5" t="s">
        <x:v>312</x:v>
      </x:c>
      <x:c r="Q21" s="5" t="s">
        <x:v>312</x:v>
      </x:c>
      <x:c r="R21" s="5" t="s">
        <x:v>698</x:v>
      </x:c>
      <x:c r="S21" s="5" t="s">
        <x:v>579</x:v>
      </x:c>
      <x:c r="T21" s="5" t="s">
        <x:v>580</x:v>
      </x:c>
      <x:c r="U21" s="5" t="s">
        <x:v>581</x:v>
      </x:c>
      <x:c r="V21" s="5" t="s">
        <x:v>582</x:v>
      </x:c>
      <x:c r="W21" s="5" t="s">
        <x:v>583</x:v>
      </x:c>
    </x:row>
    <x:row r="22" ht="300" hidden="0" customHeight="1">
      <x:c r="A22" s="16" t="s">
        <x:v>600</x:v>
      </x:c>
      <x:c r="B22" s="15" t="s">
        <x:v>693</x:v>
      </x:c>
      <x:c r="C22" s="16"/>
      <x:c r="D22" s="16" t="s">
        <x:v>699</x:v>
      </x:c>
      <x:c r="E22" s="16" t="s">
        <x:v>700</x:v>
      </x:c>
      <x:c r="F22" s="16" t="s">
        <x:v>605</x:v>
      </x:c>
      <x:c r="G22" s="33" t="s">
        <x:v>309</x:v>
      </x:c>
      <x:c r="H22" s="33"/>
      <x:c r="I22" s="16"/>
      <x:c r="J22" s="16"/>
      <x:c r="K22" s="16"/>
      <x:c r="L22" s="16"/>
      <x:c r="M22" s="16" t="s">
        <x:v>575</x:v>
      </x:c>
      <x:c r="N22" s="34" t="s">
        <x:v>701</x:v>
      </x:c>
      <x:c r="O22" s="34" t="s">
        <x:v>347</x:v>
      </x:c>
      <x:c r="P22" s="5" t="s">
        <x:v>312</x:v>
      </x:c>
      <x:c r="Q22" s="5" t="s">
        <x:v>312</x:v>
      </x:c>
      <x:c r="R22" s="5" t="s">
        <x:v>702</x:v>
      </x:c>
      <x:c r="S22" s="5" t="s">
        <x:v>349</x:v>
      </x:c>
      <x:c r="T22" s="5" t="s">
        <x:v>350</x:v>
      </x:c>
      <x:c r="U22" s="5" t="s">
        <x:v>351</x:v>
      </x:c>
      <x:c r="V22" s="5" t="s">
        <x:v>352</x:v>
      </x:c>
      <x:c r="W22" s="5" t="s">
        <x:v>353</x:v>
      </x:c>
    </x:row>
    <x:row r="23" ht="300" hidden="0" customHeight="1">
      <x:c r="A23" s="35" t="s">
        <x:v>703</x:v>
      </x:c>
      <x:c r="B23" s="36" t="s">
        <x:v>704</x:v>
      </x:c>
      <x:c r="C23" s="35" t="s">
        <x:v>705</x:v>
      </x:c>
      <x:c r="D23" s="35" t="s">
        <x:v>706</x:v>
      </x:c>
      <x:c r="E23" s="35" t="s">
        <x:v>707</x:v>
      </x:c>
      <x:c r="F23" s="35" t="s">
        <x:v>140</x:v>
      </x:c>
      <x:c r="G23" s="37" t="s">
        <x:v>309</x:v>
      </x:c>
      <x:c r="H23" s="37"/>
      <x:c r="I23" s="35"/>
      <x:c r="J23" s="35"/>
      <x:c r="K23" s="35"/>
      <x:c r="L23" s="35"/>
      <x:c r="M23" s="16" t="s">
        <x:v>359</x:v>
      </x:c>
      <x:c r="N23" s="34" t="s">
        <x:v>708</x:v>
      </x:c>
      <x:c r="O23" s="34" t="s">
        <x:v>400</x:v>
      </x:c>
      <x:c r="P23" s="5" t="s">
        <x:v>312</x:v>
      </x:c>
      <x:c r="Q23" s="5" t="s">
        <x:v>312</x:v>
      </x:c>
      <x:c r="R23" s="5" t="s">
        <x:v>709</x:v>
      </x:c>
      <x:c r="S23" s="5" t="s">
        <x:v>402</x:v>
      </x:c>
      <x:c r="T23" s="5" t="s">
        <x:v>403</x:v>
      </x:c>
      <x:c r="U23" s="5" t="s">
        <x:v>404</x:v>
      </x:c>
      <x:c r="V23" s="5" t="s">
        <x:v>405</x:v>
      </x:c>
      <x:c r="W23" s="5" t="s">
        <x:v>406</x:v>
      </x:c>
    </x:row>
    <x:row r="24" ht="300" hidden="0" customHeight="1">
      <x:c r="A24" s="16" t="s">
        <x:v>703</x:v>
      </x:c>
      <x:c r="B24" s="15" t="s">
        <x:v>704</x:v>
      </x:c>
      <x:c r="C24" s="16"/>
      <x:c r="D24" s="16" t="s">
        <x:v>710</x:v>
      </x:c>
      <x:c r="E24" s="16" t="s">
        <x:v>711</x:v>
      </x:c>
      <x:c r="F24" s="16" t="s">
        <x:v>140</x:v>
      </x:c>
      <x:c r="G24" s="33" t="s">
        <x:v>309</x:v>
      </x:c>
      <x:c r="H24" s="33"/>
      <x:c r="I24" s="16"/>
      <x:c r="J24" s="16"/>
      <x:c r="K24" s="16"/>
      <x:c r="L24" s="16"/>
      <x:c r="M24" s="16"/>
      <x:c r="N24" s="34" t="s">
        <x:v>712</x:v>
      </x:c>
      <x:c r="O24" s="34" t="s">
        <x:v>658</x:v>
      </x:c>
      <x:c r="P24" s="5" t="s">
        <x:v>312</x:v>
      </x:c>
      <x:c r="Q24" s="5" t="s">
        <x:v>312</x:v>
      </x:c>
      <x:c r="R24" s="5" t="s">
        <x:v>713</x:v>
      </x:c>
      <x:c r="S24" s="5" t="s">
        <x:v>660</x:v>
      </x:c>
      <x:c r="T24" s="5" t="s">
        <x:v>661</x:v>
      </x:c>
      <x:c r="U24" s="5" t="s">
        <x:v>662</x:v>
      </x:c>
      <x:c r="V24" s="5" t="s">
        <x:v>663</x:v>
      </x:c>
      <x:c r="W24" s="5" t="s">
        <x:v>664</x:v>
      </x:c>
    </x:row>
    <x:row r="25" ht="300" hidden="0" customHeight="1">
      <x:c r="A25" s="35" t="s">
        <x:v>703</x:v>
      </x:c>
      <x:c r="B25" s="36" t="s">
        <x:v>704</x:v>
      </x:c>
      <x:c r="C25" s="35"/>
      <x:c r="D25" s="35" t="s">
        <x:v>714</x:v>
      </x:c>
      <x:c r="E25" s="35" t="s">
        <x:v>715</x:v>
      </x:c>
      <x:c r="F25" s="35" t="s">
        <x:v>140</x:v>
      </x:c>
      <x:c r="G25" s="37" t="s">
        <x:v>309</x:v>
      </x:c>
      <x:c r="H25" s="37"/>
      <x:c r="I25" s="35"/>
      <x:c r="J25" s="35"/>
      <x:c r="K25" s="35"/>
      <x:c r="L25" s="35"/>
      <x:c r="M25" s="16"/>
      <x:c r="N25" s="34" t="s">
        <x:v>716</x:v>
      </x:c>
      <x:c r="O25" s="34" t="s">
        <x:v>335</x:v>
      </x:c>
      <x:c r="P25" s="5" t="s">
        <x:v>312</x:v>
      </x:c>
      <x:c r="Q25" s="5" t="s">
        <x:v>312</x:v>
      </x:c>
      <x:c r="R25" s="5" t="s">
        <x:v>717</x:v>
      </x:c>
      <x:c r="S25" s="5" t="s">
        <x:v>337</x:v>
      </x:c>
      <x:c r="T25" s="5" t="s">
        <x:v>338</x:v>
      </x:c>
      <x:c r="U25" s="5" t="s">
        <x:v>339</x:v>
      </x:c>
      <x:c r="V25" s="5" t="s">
        <x:v>340</x:v>
      </x:c>
      <x:c r="W25" s="5" t="s">
        <x:v>341</x:v>
      </x:c>
    </x:row>
    <x:row r="26" ht="300" hidden="0" customHeight="1">
      <x:c r="A26" s="16" t="s">
        <x:v>703</x:v>
      </x:c>
      <x:c r="B26" s="15" t="s">
        <x:v>704</x:v>
      </x:c>
      <x:c r="C26" s="16"/>
      <x:c r="D26" s="16" t="s">
        <x:v>718</x:v>
      </x:c>
      <x:c r="E26" s="16" t="s">
        <x:v>719</x:v>
      </x:c>
      <x:c r="F26" s="16" t="s">
        <x:v>140</x:v>
      </x:c>
      <x:c r="G26" s="33" t="s">
        <x:v>309</x:v>
      </x:c>
      <x:c r="H26" s="33"/>
      <x:c r="I26" s="16"/>
      <x:c r="J26" s="16"/>
      <x:c r="K26" s="16"/>
      <x:c r="L26" s="16"/>
      <x:c r="M26" s="16"/>
      <x:c r="N26" s="34" t="s">
        <x:v>720</x:v>
      </x:c>
      <x:c r="O26" s="34" t="s">
        <x:v>458</x:v>
      </x:c>
      <x:c r="P26" s="5" t="s">
        <x:v>312</x:v>
      </x:c>
      <x:c r="Q26" s="5" t="s">
        <x:v>312</x:v>
      </x:c>
      <x:c r="R26" s="5" t="s">
        <x:v>721</x:v>
      </x:c>
      <x:c r="S26" s="5" t="s">
        <x:v>460</x:v>
      </x:c>
      <x:c r="T26" s="5" t="s">
        <x:v>461</x:v>
      </x:c>
      <x:c r="U26" s="5" t="s">
        <x:v>462</x:v>
      </x:c>
      <x:c r="V26" s="5" t="s">
        <x:v>463</x:v>
      </x:c>
      <x:c r="W26" s="5" t="s">
        <x:v>464</x:v>
      </x:c>
    </x:row>
    <x:row r="27" ht="300" hidden="0" customHeight="1">
      <x:c r="A27" s="35" t="s">
        <x:v>703</x:v>
      </x:c>
      <x:c r="B27" s="36" t="s">
        <x:v>704</x:v>
      </x:c>
      <x:c r="C27" s="35"/>
      <x:c r="D27" s="35" t="s">
        <x:v>722</x:v>
      </x:c>
      <x:c r="E27" s="35" t="s">
        <x:v>723</x:v>
      </x:c>
      <x:c r="F27" s="35" t="s">
        <x:v>140</x:v>
      </x:c>
      <x:c r="G27" s="37" t="s">
        <x:v>309</x:v>
      </x:c>
      <x:c r="H27" s="37"/>
      <x:c r="I27" s="35"/>
      <x:c r="J27" s="35"/>
      <x:c r="K27" s="35"/>
      <x:c r="L27" s="35"/>
      <x:c r="M27" s="16"/>
      <x:c r="N27" s="34" t="s">
        <x:v>724</x:v>
      </x:c>
      <x:c r="O27" s="34" t="s">
        <x:v>335</x:v>
      </x:c>
      <x:c r="P27" s="5" t="s">
        <x:v>312</x:v>
      </x:c>
      <x:c r="Q27" s="5" t="s">
        <x:v>312</x:v>
      </x:c>
      <x:c r="R27" s="5" t="s">
        <x:v>725</x:v>
      </x:c>
      <x:c r="S27" s="5" t="s">
        <x:v>337</x:v>
      </x:c>
      <x:c r="T27" s="5" t="s">
        <x:v>338</x:v>
      </x:c>
      <x:c r="U27" s="5" t="s">
        <x:v>339</x:v>
      </x:c>
      <x:c r="V27" s="5" t="s">
        <x:v>340</x:v>
      </x:c>
      <x:c r="W27" s="5" t="s">
        <x:v>341</x:v>
      </x:c>
    </x:row>
    <x:row r="28" ht="300" hidden="0" customHeight="1">
      <x:c r="A28" s="16" t="s">
        <x:v>703</x:v>
      </x:c>
      <x:c r="B28" s="15" t="s">
        <x:v>704</x:v>
      </x:c>
      <x:c r="C28" s="16"/>
      <x:c r="D28" s="16" t="s">
        <x:v>726</x:v>
      </x:c>
      <x:c r="E28" s="16" t="s">
        <x:v>727</x:v>
      </x:c>
      <x:c r="F28" s="16" t="s">
        <x:v>140</x:v>
      </x:c>
      <x:c r="G28" s="33" t="s">
        <x:v>309</x:v>
      </x:c>
      <x:c r="H28" s="33"/>
      <x:c r="I28" s="16"/>
      <x:c r="J28" s="16"/>
      <x:c r="K28" s="16"/>
      <x:c r="L28" s="16"/>
      <x:c r="M28" s="16"/>
      <x:c r="N28" s="34" t="s">
        <x:v>728</x:v>
      </x:c>
      <x:c r="O28" s="34" t="s">
        <x:v>372</x:v>
      </x:c>
      <x:c r="P28" s="5" t="s">
        <x:v>312</x:v>
      </x:c>
      <x:c r="Q28" s="5" t="s">
        <x:v>312</x:v>
      </x:c>
      <x:c r="R28" s="5" t="s">
        <x:v>729</x:v>
      </x:c>
      <x:c r="S28" s="5" t="s">
        <x:v>374</x:v>
      </x:c>
      <x:c r="T28" s="5" t="s">
        <x:v>375</x:v>
      </x:c>
      <x:c r="U28" s="5" t="s">
        <x:v>376</x:v>
      </x:c>
      <x:c r="V28" s="5" t="s">
        <x:v>377</x:v>
      </x:c>
      <x:c r="W28" s="5" t="s">
        <x:v>378</x:v>
      </x:c>
    </x:row>
    <x:row r="29" ht="300" hidden="0" customHeight="1">
      <x:c r="A29" s="35" t="s">
        <x:v>703</x:v>
      </x:c>
      <x:c r="B29" s="36" t="s">
        <x:v>730</x:v>
      </x:c>
      <x:c r="C29" s="35" t="s">
        <x:v>731</x:v>
      </x:c>
      <x:c r="D29" s="35" t="s">
        <x:v>732</x:v>
      </x:c>
      <x:c r="E29" s="35" t="s">
        <x:v>733</x:v>
      </x:c>
      <x:c r="F29" s="35" t="s">
        <x:v>140</x:v>
      </x:c>
      <x:c r="G29" s="37" t="s">
        <x:v>309</x:v>
      </x:c>
      <x:c r="H29" s="37"/>
      <x:c r="I29" s="35"/>
      <x:c r="J29" s="35"/>
      <x:c r="K29" s="35"/>
      <x:c r="L29" s="35"/>
      <x:c r="M29" s="16"/>
      <x:c r="N29" s="34" t="s">
        <x:v>734</x:v>
      </x:c>
      <x:c r="O29" s="34" t="s">
        <x:v>361</x:v>
      </x:c>
      <x:c r="P29" s="5" t="s">
        <x:v>312</x:v>
      </x:c>
      <x:c r="Q29" s="5" t="s">
        <x:v>312</x:v>
      </x:c>
      <x:c r="R29" s="5" t="s">
        <x:v>735</x:v>
      </x:c>
      <x:c r="S29" s="5" t="s">
        <x:v>363</x:v>
      </x:c>
      <x:c r="T29" s="5" t="s">
        <x:v>364</x:v>
      </x:c>
      <x:c r="U29" s="5" t="s">
        <x:v>365</x:v>
      </x:c>
      <x:c r="V29" s="5" t="s">
        <x:v>366</x:v>
      </x:c>
      <x:c r="W29" s="5" t="s">
        <x:v>367</x:v>
      </x:c>
    </x:row>
    <x:row r="30" ht="300" hidden="0" customHeight="1">
      <x:c r="A30" s="16" t="s">
        <x:v>703</x:v>
      </x:c>
      <x:c r="B30" s="15" t="s">
        <x:v>730</x:v>
      </x:c>
      <x:c r="C30" s="16"/>
      <x:c r="D30" s="16" t="s">
        <x:v>736</x:v>
      </x:c>
      <x:c r="E30" s="16" t="s">
        <x:v>737</x:v>
      </x:c>
      <x:c r="F30" s="16" t="s">
        <x:v>140</x:v>
      </x:c>
      <x:c r="G30" s="33" t="s">
        <x:v>309</x:v>
      </x:c>
      <x:c r="H30" s="33"/>
      <x:c r="I30" s="16"/>
      <x:c r="J30" s="16"/>
      <x:c r="K30" s="16"/>
      <x:c r="L30" s="16"/>
      <x:c r="M30" s="16"/>
      <x:c r="N30" s="34" t="s">
        <x:v>738</x:v>
      </x:c>
      <x:c r="O30" s="34" t="s">
        <x:v>530</x:v>
      </x:c>
      <x:c r="P30" s="5" t="s">
        <x:v>312</x:v>
      </x:c>
      <x:c r="Q30" s="5" t="s">
        <x:v>312</x:v>
      </x:c>
      <x:c r="R30" s="5" t="s">
        <x:v>739</x:v>
      </x:c>
      <x:c r="S30" s="5" t="s">
        <x:v>532</x:v>
      </x:c>
      <x:c r="T30" s="5" t="s">
        <x:v>533</x:v>
      </x:c>
      <x:c r="U30" s="5" t="s">
        <x:v>534</x:v>
      </x:c>
      <x:c r="V30" s="5" t="s">
        <x:v>535</x:v>
      </x:c>
      <x:c r="W30" s="5" t="s">
        <x:v>536</x:v>
      </x:c>
    </x:row>
    <x:row r="31" ht="300" hidden="0" customHeight="1">
      <x:c r="A31" s="35" t="s">
        <x:v>703</x:v>
      </x:c>
      <x:c r="B31" s="36" t="s">
        <x:v>730</x:v>
      </x:c>
      <x:c r="C31" s="35"/>
      <x:c r="D31" s="35" t="s">
        <x:v>740</x:v>
      </x:c>
      <x:c r="E31" s="35" t="s">
        <x:v>741</x:v>
      </x:c>
      <x:c r="F31" s="35" t="s">
        <x:v>140</x:v>
      </x:c>
      <x:c r="G31" s="37" t="s">
        <x:v>309</x:v>
      </x:c>
      <x:c r="H31" s="37"/>
      <x:c r="I31" s="35"/>
      <x:c r="J31" s="35"/>
      <x:c r="K31" s="35"/>
      <x:c r="L31" s="35"/>
      <x:c r="M31" s="16"/>
      <x:c r="N31" s="34" t="s">
        <x:v>742</x:v>
      </x:c>
      <x:c r="O31" s="34" t="s">
        <x:v>361</x:v>
      </x:c>
      <x:c r="P31" s="5" t="s">
        <x:v>312</x:v>
      </x:c>
      <x:c r="Q31" s="5" t="s">
        <x:v>312</x:v>
      </x:c>
      <x:c r="R31" s="5" t="s">
        <x:v>743</x:v>
      </x:c>
      <x:c r="S31" s="5" t="s">
        <x:v>363</x:v>
      </x:c>
      <x:c r="T31" s="5" t="s">
        <x:v>364</x:v>
      </x:c>
      <x:c r="U31" s="5" t="s">
        <x:v>365</x:v>
      </x:c>
      <x:c r="V31" s="5" t="s">
        <x:v>366</x:v>
      </x:c>
      <x:c r="W31" s="5" t="s">
        <x:v>367</x:v>
      </x:c>
    </x:row>
    <x:row r="32" ht="300" hidden="0" customHeight="1">
      <x:c r="A32" s="16" t="s">
        <x:v>703</x:v>
      </x:c>
      <x:c r="B32" s="15" t="s">
        <x:v>744</x:v>
      </x:c>
      <x:c r="C32" s="16" t="s">
        <x:v>745</x:v>
      </x:c>
      <x:c r="D32" s="16" t="s">
        <x:v>746</x:v>
      </x:c>
      <x:c r="E32" s="16" t="s">
        <x:v>747</x:v>
      </x:c>
      <x:c r="F32" s="16" t="s">
        <x:v>140</x:v>
      </x:c>
      <x:c r="G32" s="33" t="s">
        <x:v>309</x:v>
      </x:c>
      <x:c r="H32" s="33"/>
      <x:c r="I32" s="16"/>
      <x:c r="J32" s="16"/>
      <x:c r="K32" s="16"/>
      <x:c r="L32" s="16"/>
      <x:c r="M32" s="16"/>
      <x:c r="N32" s="34" t="s">
        <x:v>748</x:v>
      </x:c>
      <x:c r="O32" s="34" t="s">
        <x:v>335</x:v>
      </x:c>
      <x:c r="P32" s="5" t="s">
        <x:v>312</x:v>
      </x:c>
      <x:c r="Q32" s="5" t="s">
        <x:v>312</x:v>
      </x:c>
      <x:c r="R32" s="5" t="s">
        <x:v>749</x:v>
      </x:c>
      <x:c r="S32" s="5" t="s">
        <x:v>337</x:v>
      </x:c>
      <x:c r="T32" s="5" t="s">
        <x:v>338</x:v>
      </x:c>
      <x:c r="U32" s="5" t="s">
        <x:v>339</x:v>
      </x:c>
      <x:c r="V32" s="5" t="s">
        <x:v>340</x:v>
      </x:c>
      <x:c r="W32" s="5" t="s">
        <x:v>341</x:v>
      </x:c>
    </x:row>
    <x:row r="33" ht="300" hidden="0" customHeight="1">
      <x:c r="A33" s="35" t="s">
        <x:v>703</x:v>
      </x:c>
      <x:c r="B33" s="36" t="s">
        <x:v>744</x:v>
      </x:c>
      <x:c r="C33" s="35"/>
      <x:c r="D33" s="35" t="s">
        <x:v>750</x:v>
      </x:c>
      <x:c r="E33" s="35" t="s">
        <x:v>751</x:v>
      </x:c>
      <x:c r="F33" s="35" t="s">
        <x:v>140</x:v>
      </x:c>
      <x:c r="G33" s="37" t="s">
        <x:v>309</x:v>
      </x:c>
      <x:c r="H33" s="37"/>
      <x:c r="I33" s="35"/>
      <x:c r="J33" s="35"/>
      <x:c r="K33" s="35"/>
      <x:c r="L33" s="35"/>
      <x:c r="M33" s="16"/>
      <x:c r="N33" s="34" t="s">
        <x:v>752</x:v>
      </x:c>
      <x:c r="O33" s="34" t="s">
        <x:v>335</x:v>
      </x:c>
      <x:c r="P33" s="5" t="s">
        <x:v>312</x:v>
      </x:c>
      <x:c r="Q33" s="5" t="s">
        <x:v>312</x:v>
      </x:c>
      <x:c r="R33" s="5" t="s">
        <x:v>753</x:v>
      </x:c>
      <x:c r="S33" s="5" t="s">
        <x:v>337</x:v>
      </x:c>
      <x:c r="T33" s="5" t="s">
        <x:v>338</x:v>
      </x:c>
      <x:c r="U33" s="5" t="s">
        <x:v>339</x:v>
      </x:c>
      <x:c r="V33" s="5" t="s">
        <x:v>340</x:v>
      </x:c>
      <x:c r="W33" s="5" t="s">
        <x:v>341</x:v>
      </x:c>
    </x:row>
    <x:row r="34" ht="300" hidden="0" customHeight="1">
      <x:c r="A34" s="16" t="s">
        <x:v>703</x:v>
      </x:c>
      <x:c r="B34" s="15" t="s">
        <x:v>744</x:v>
      </x:c>
      <x:c r="C34" s="16"/>
      <x:c r="D34" s="16" t="s">
        <x:v>754</x:v>
      </x:c>
      <x:c r="E34" s="16" t="s">
        <x:v>755</x:v>
      </x:c>
      <x:c r="F34" s="16" t="s">
        <x:v>140</x:v>
      </x:c>
      <x:c r="G34" s="33" t="s">
        <x:v>309</x:v>
      </x:c>
      <x:c r="H34" s="33"/>
      <x:c r="I34" s="16"/>
      <x:c r="J34" s="16"/>
      <x:c r="K34" s="16"/>
      <x:c r="L34" s="16"/>
      <x:c r="M34" s="16"/>
      <x:c r="N34" s="34" t="s">
        <x:v>756</x:v>
      </x:c>
      <x:c r="O34" s="34" t="s">
        <x:v>361</x:v>
      </x:c>
      <x:c r="P34" s="5" t="s">
        <x:v>312</x:v>
      </x:c>
      <x:c r="Q34" s="5" t="s">
        <x:v>312</x:v>
      </x:c>
      <x:c r="R34" s="5" t="s">
        <x:v>757</x:v>
      </x:c>
      <x:c r="S34" s="5" t="s">
        <x:v>363</x:v>
      </x:c>
      <x:c r="T34" s="5" t="s">
        <x:v>364</x:v>
      </x:c>
      <x:c r="U34" s="5" t="s">
        <x:v>365</x:v>
      </x:c>
      <x:c r="V34" s="5" t="s">
        <x:v>366</x:v>
      </x:c>
      <x:c r="W34" s="5" t="s">
        <x:v>367</x:v>
      </x:c>
    </x:row>
    <x:row r="35" ht="300" hidden="0" customHeight="1">
      <x:c r="A35" s="35" t="s">
        <x:v>703</x:v>
      </x:c>
      <x:c r="B35" s="36" t="s">
        <x:v>744</x:v>
      </x:c>
      <x:c r="C35" s="35"/>
      <x:c r="D35" s="35" t="s">
        <x:v>758</x:v>
      </x:c>
      <x:c r="E35" s="35" t="s">
        <x:v>759</x:v>
      </x:c>
      <x:c r="F35" s="35" t="s">
        <x:v>140</x:v>
      </x:c>
      <x:c r="G35" s="37" t="s">
        <x:v>309</x:v>
      </x:c>
      <x:c r="H35" s="37"/>
      <x:c r="I35" s="35"/>
      <x:c r="J35" s="35"/>
      <x:c r="K35" s="35"/>
      <x:c r="L35" s="35"/>
      <x:c r="M35" s="16"/>
      <x:c r="N35" s="34" t="s">
        <x:v>760</x:v>
      </x:c>
      <x:c r="O35" s="34" t="s">
        <x:v>311</x:v>
      </x:c>
      <x:c r="P35" s="5" t="s">
        <x:v>312</x:v>
      </x:c>
      <x:c r="Q35" s="5" t="s">
        <x:v>312</x:v>
      </x:c>
      <x:c r="R35" s="5" t="s">
        <x:v>761</x:v>
      </x:c>
      <x:c r="S35" s="5" t="s">
        <x:v>314</x:v>
      </x:c>
      <x:c r="T35" s="5" t="s">
        <x:v>315</x:v>
      </x:c>
      <x:c r="U35" s="5" t="s">
        <x:v>316</x:v>
      </x:c>
      <x:c r="V35" s="5" t="s">
        <x:v>317</x:v>
      </x:c>
      <x:c r="W35" s="5" t="s">
        <x:v>318</x:v>
      </x:c>
    </x:row>
    <x:row r="36" ht="300" hidden="0" customHeight="1">
      <x:c r="A36" s="16" t="s">
        <x:v>703</x:v>
      </x:c>
      <x:c r="B36" s="15" t="s">
        <x:v>744</x:v>
      </x:c>
      <x:c r="C36" s="16"/>
      <x:c r="D36" s="16" t="s">
        <x:v>762</x:v>
      </x:c>
      <x:c r="E36" s="16" t="s">
        <x:v>763</x:v>
      </x:c>
      <x:c r="F36" s="16" t="s">
        <x:v>140</x:v>
      </x:c>
      <x:c r="G36" s="33" t="s">
        <x:v>309</x:v>
      </x:c>
      <x:c r="H36" s="33"/>
      <x:c r="I36" s="16"/>
      <x:c r="J36" s="16"/>
      <x:c r="K36" s="16"/>
      <x:c r="L36" s="16"/>
      <x:c r="M36" s="16"/>
      <x:c r="N36" s="34" t="s">
        <x:v>764</x:v>
      </x:c>
      <x:c r="O36" s="34" t="s">
        <x:v>311</x:v>
      </x:c>
      <x:c r="P36" s="5" t="s">
        <x:v>312</x:v>
      </x:c>
      <x:c r="Q36" s="5" t="s">
        <x:v>312</x:v>
      </x:c>
      <x:c r="R36" s="5" t="s">
        <x:v>765</x:v>
      </x:c>
      <x:c r="S36" s="5" t="s">
        <x:v>314</x:v>
      </x:c>
      <x:c r="T36" s="5" t="s">
        <x:v>315</x:v>
      </x:c>
      <x:c r="U36" s="5" t="s">
        <x:v>316</x:v>
      </x:c>
      <x:c r="V36" s="5" t="s">
        <x:v>317</x:v>
      </x:c>
      <x:c r="W36" s="5" t="s">
        <x:v>318</x:v>
      </x:c>
    </x:row>
    <x:row r="37" ht="300" hidden="0" customHeight="1">
      <x:c r="A37" s="35" t="s">
        <x:v>703</x:v>
      </x:c>
      <x:c r="B37" s="36" t="s">
        <x:v>766</x:v>
      </x:c>
      <x:c r="C37" s="35" t="s">
        <x:v>767</x:v>
      </x:c>
      <x:c r="D37" s="35" t="s">
        <x:v>768</x:v>
      </x:c>
      <x:c r="E37" s="35" t="s">
        <x:v>769</x:v>
      </x:c>
      <x:c r="F37" s="35" t="s">
        <x:v>140</x:v>
      </x:c>
      <x:c r="G37" s="37" t="s">
        <x:v>309</x:v>
      </x:c>
      <x:c r="H37" s="37"/>
      <x:c r="I37" s="35"/>
      <x:c r="J37" s="35"/>
      <x:c r="K37" s="35"/>
      <x:c r="L37" s="35"/>
      <x:c r="M37" s="16" t="s">
        <x:v>575</x:v>
      </x:c>
      <x:c r="N37" s="34" t="s">
        <x:v>770</x:v>
      </x:c>
      <x:c r="O37" s="34" t="s">
        <x:v>577</x:v>
      </x:c>
      <x:c r="P37" s="5" t="s">
        <x:v>312</x:v>
      </x:c>
      <x:c r="Q37" s="5" t="s">
        <x:v>312</x:v>
      </x:c>
      <x:c r="R37" s="5" t="s">
        <x:v>771</x:v>
      </x:c>
      <x:c r="S37" s="5" t="s">
        <x:v>579</x:v>
      </x:c>
      <x:c r="T37" s="5" t="s">
        <x:v>580</x:v>
      </x:c>
      <x:c r="U37" s="5" t="s">
        <x:v>581</x:v>
      </x:c>
      <x:c r="V37" s="5" t="s">
        <x:v>582</x:v>
      </x:c>
      <x:c r="W37" s="5" t="s">
        <x:v>583</x:v>
      </x:c>
    </x:row>
    <x:row r="38" ht="300" hidden="0" customHeight="1">
      <x:c r="A38" s="16" t="s">
        <x:v>703</x:v>
      </x:c>
      <x:c r="B38" s="15" t="s">
        <x:v>766</x:v>
      </x:c>
      <x:c r="C38" s="16"/>
      <x:c r="D38" s="16" t="s">
        <x:v>772</x:v>
      </x:c>
      <x:c r="E38" s="16" t="s">
        <x:v>773</x:v>
      </x:c>
      <x:c r="F38" s="16" t="s">
        <x:v>140</x:v>
      </x:c>
      <x:c r="G38" s="33" t="s">
        <x:v>309</x:v>
      </x:c>
      <x:c r="H38" s="33"/>
      <x:c r="I38" s="16"/>
      <x:c r="J38" s="16"/>
      <x:c r="K38" s="16"/>
      <x:c r="L38" s="16"/>
      <x:c r="M38" s="16"/>
      <x:c r="N38" s="34" t="s">
        <x:v>774</x:v>
      </x:c>
      <x:c r="O38" s="34" t="s">
        <x:v>577</x:v>
      </x:c>
      <x:c r="P38" s="5" t="s">
        <x:v>312</x:v>
      </x:c>
      <x:c r="Q38" s="5" t="s">
        <x:v>312</x:v>
      </x:c>
      <x:c r="R38" s="5" t="s">
        <x:v>775</x:v>
      </x:c>
      <x:c r="S38" s="5" t="s">
        <x:v>579</x:v>
      </x:c>
      <x:c r="T38" s="5" t="s">
        <x:v>580</x:v>
      </x:c>
      <x:c r="U38" s="5" t="s">
        <x:v>581</x:v>
      </x:c>
      <x:c r="V38" s="5" t="s">
        <x:v>582</x:v>
      </x:c>
      <x:c r="W38" s="5" t="s">
        <x:v>583</x:v>
      </x:c>
    </x:row>
    <x:row r="39" ht="300" hidden="0" customHeight="1">
      <x:c r="A39" s="35" t="s">
        <x:v>703</x:v>
      </x:c>
      <x:c r="B39" s="36" t="s">
        <x:v>776</x:v>
      </x:c>
      <x:c r="C39" s="35" t="s">
        <x:v>777</x:v>
      </x:c>
      <x:c r="D39" s="35" t="s">
        <x:v>778</x:v>
      </x:c>
      <x:c r="E39" s="35" t="s">
        <x:v>779</x:v>
      </x:c>
      <x:c r="F39" s="35" t="s">
        <x:v>140</x:v>
      </x:c>
      <x:c r="G39" s="37" t="s">
        <x:v>309</x:v>
      </x:c>
      <x:c r="H39" s="37"/>
      <x:c r="I39" s="35"/>
      <x:c r="J39" s="35"/>
      <x:c r="K39" s="35"/>
      <x:c r="L39" s="35"/>
      <x:c r="M39" s="16" t="s">
        <x:v>417</x:v>
      </x:c>
      <x:c r="N39" s="34" t="s">
        <x:v>780</x:v>
      </x:c>
      <x:c r="O39" s="34" t="s">
        <x:v>361</x:v>
      </x:c>
      <x:c r="P39" s="5" t="s">
        <x:v>312</x:v>
      </x:c>
      <x:c r="Q39" s="5" t="s">
        <x:v>312</x:v>
      </x:c>
      <x:c r="R39" s="5" t="s">
        <x:v>781</x:v>
      </x:c>
      <x:c r="S39" s="5" t="s">
        <x:v>363</x:v>
      </x:c>
      <x:c r="T39" s="5" t="s">
        <x:v>364</x:v>
      </x:c>
      <x:c r="U39" s="5" t="s">
        <x:v>365</x:v>
      </x:c>
      <x:c r="V39" s="5" t="s">
        <x:v>366</x:v>
      </x:c>
      <x:c r="W39" s="5" t="s">
        <x:v>367</x:v>
      </x:c>
    </x:row>
    <x:row r="40" ht="300" hidden="0" customHeight="1">
      <x:c r="A40" s="16" t="s">
        <x:v>703</x:v>
      </x:c>
      <x:c r="B40" s="15" t="s">
        <x:v>776</x:v>
      </x:c>
      <x:c r="C40" s="16"/>
      <x:c r="D40" s="16" t="s">
        <x:v>782</x:v>
      </x:c>
      <x:c r="E40" s="16" t="s">
        <x:v>783</x:v>
      </x:c>
      <x:c r="F40" s="16" t="s">
        <x:v>140</x:v>
      </x:c>
      <x:c r="G40" s="33" t="s">
        <x:v>309</x:v>
      </x:c>
      <x:c r="H40" s="33"/>
      <x:c r="I40" s="16"/>
      <x:c r="J40" s="16"/>
      <x:c r="K40" s="16"/>
      <x:c r="L40" s="16"/>
      <x:c r="M40" s="16" t="s">
        <x:v>417</x:v>
      </x:c>
      <x:c r="N40" s="34" t="s">
        <x:v>784</x:v>
      </x:c>
      <x:c r="O40" s="34" t="s">
        <x:v>361</x:v>
      </x:c>
      <x:c r="P40" s="5" t="s">
        <x:v>312</x:v>
      </x:c>
      <x:c r="Q40" s="5" t="s">
        <x:v>312</x:v>
      </x:c>
      <x:c r="R40" s="5" t="s">
        <x:v>785</x:v>
      </x:c>
      <x:c r="S40" s="5" t="s">
        <x:v>363</x:v>
      </x:c>
      <x:c r="T40" s="5" t="s">
        <x:v>364</x:v>
      </x:c>
      <x:c r="U40" s="5" t="s">
        <x:v>365</x:v>
      </x:c>
      <x:c r="V40" s="5" t="s">
        <x:v>366</x:v>
      </x:c>
      <x:c r="W40" s="5" t="s">
        <x:v>367</x:v>
      </x:c>
    </x:row>
    <x:row r="41" ht="300" hidden="0" customHeight="1">
      <x:c r="A41" s="35" t="s">
        <x:v>786</x:v>
      </x:c>
      <x:c r="B41" s="36" t="s">
        <x:v>787</x:v>
      </x:c>
      <x:c r="C41" s="35" t="s">
        <x:v>788</x:v>
      </x:c>
      <x:c r="D41" s="35" t="s">
        <x:v>789</x:v>
      </x:c>
      <x:c r="E41" s="35" t="s">
        <x:v>790</x:v>
      </x:c>
      <x:c r="F41" s="35" t="s">
        <x:v>791</x:v>
      </x:c>
      <x:c r="G41" s="37" t="s">
        <x:v>309</x:v>
      </x:c>
      <x:c r="H41" s="37"/>
      <x:c r="I41" s="35"/>
      <x:c r="J41" s="35"/>
      <x:c r="K41" s="35"/>
      <x:c r="L41" s="35"/>
      <x:c r="M41" s="16" t="s">
        <x:v>417</x:v>
      </x:c>
      <x:c r="N41" s="34" t="s">
        <x:v>792</x:v>
      </x:c>
      <x:c r="O41" s="34" t="s">
        <x:v>627</x:v>
      </x:c>
      <x:c r="P41" s="5" t="s">
        <x:v>312</x:v>
      </x:c>
      <x:c r="Q41" s="5" t="s">
        <x:v>312</x:v>
      </x:c>
      <x:c r="R41" s="5" t="s">
        <x:v>793</x:v>
      </x:c>
      <x:c r="S41" s="5" t="s">
        <x:v>629</x:v>
      </x:c>
      <x:c r="T41" s="5" t="s">
        <x:v>630</x:v>
      </x:c>
      <x:c r="U41" s="5" t="s">
        <x:v>631</x:v>
      </x:c>
      <x:c r="V41" s="5" t="s">
        <x:v>632</x:v>
      </x:c>
      <x:c r="W41" s="5" t="s">
        <x:v>633</x:v>
      </x:c>
    </x:row>
    <x:row r="42" ht="300" hidden="0" customHeight="1">
      <x:c r="A42" s="16" t="s">
        <x:v>786</x:v>
      </x:c>
      <x:c r="B42" s="15" t="s">
        <x:v>787</x:v>
      </x:c>
      <x:c r="C42" s="16"/>
      <x:c r="D42" s="16" t="s">
        <x:v>794</x:v>
      </x:c>
      <x:c r="E42" s="16" t="s">
        <x:v>795</x:v>
      </x:c>
      <x:c r="F42" s="16" t="s">
        <x:v>791</x:v>
      </x:c>
      <x:c r="G42" s="33" t="s">
        <x:v>309</x:v>
      </x:c>
      <x:c r="H42" s="33"/>
      <x:c r="I42" s="16"/>
      <x:c r="J42" s="16"/>
      <x:c r="K42" s="16"/>
      <x:c r="L42" s="16"/>
      <x:c r="M42" s="16" t="s">
        <x:v>327</x:v>
      </x:c>
      <x:c r="N42" s="34" t="s">
        <x:v>796</x:v>
      </x:c>
      <x:c r="O42" s="34" t="s">
        <x:v>361</x:v>
      </x:c>
      <x:c r="P42" s="5" t="s">
        <x:v>312</x:v>
      </x:c>
      <x:c r="Q42" s="5" t="s">
        <x:v>312</x:v>
      </x:c>
      <x:c r="R42" s="5" t="s">
        <x:v>797</x:v>
      </x:c>
      <x:c r="S42" s="5" t="s">
        <x:v>363</x:v>
      </x:c>
      <x:c r="T42" s="5" t="s">
        <x:v>364</x:v>
      </x:c>
      <x:c r="U42" s="5" t="s">
        <x:v>365</x:v>
      </x:c>
      <x:c r="V42" s="5" t="s">
        <x:v>366</x:v>
      </x:c>
      <x:c r="W42" s="5" t="s">
        <x:v>367</x:v>
      </x:c>
    </x:row>
    <x:row r="43" ht="300" hidden="0" customHeight="1">
      <x:c r="A43" s="35" t="s">
        <x:v>786</x:v>
      </x:c>
      <x:c r="B43" s="36" t="s">
        <x:v>787</x:v>
      </x:c>
      <x:c r="C43" s="35"/>
      <x:c r="D43" s="35" t="s">
        <x:v>798</x:v>
      </x:c>
      <x:c r="E43" s="35" t="s">
        <x:v>799</x:v>
      </x:c>
      <x:c r="F43" s="35" t="s">
        <x:v>791</x:v>
      </x:c>
      <x:c r="G43" s="37" t="s">
        <x:v>309</x:v>
      </x:c>
      <x:c r="H43" s="37"/>
      <x:c r="I43" s="35"/>
      <x:c r="J43" s="35"/>
      <x:c r="K43" s="35"/>
      <x:c r="L43" s="35"/>
      <x:c r="M43" s="16"/>
      <x:c r="N43" s="34" t="s">
        <x:v>800</x:v>
      </x:c>
      <x:c r="O43" s="34" t="s">
        <x:v>361</x:v>
      </x:c>
      <x:c r="P43" s="5" t="s">
        <x:v>312</x:v>
      </x:c>
      <x:c r="Q43" s="5" t="s">
        <x:v>312</x:v>
      </x:c>
      <x:c r="R43" s="5" t="s">
        <x:v>801</x:v>
      </x:c>
      <x:c r="S43" s="5" t="s">
        <x:v>363</x:v>
      </x:c>
      <x:c r="T43" s="5" t="s">
        <x:v>364</x:v>
      </x:c>
      <x:c r="U43" s="5" t="s">
        <x:v>365</x:v>
      </x:c>
      <x:c r="V43" s="5" t="s">
        <x:v>366</x:v>
      </x:c>
      <x:c r="W43" s="5" t="s">
        <x:v>367</x:v>
      </x:c>
    </x:row>
    <x:row r="44" ht="297" hidden="0" customHeight="1">
      <x:c r="A44" s="16" t="s">
        <x:v>786</x:v>
      </x:c>
      <x:c r="B44" s="15" t="s">
        <x:v>802</x:v>
      </x:c>
      <x:c r="C44" s="16" t="s">
        <x:v>803</x:v>
      </x:c>
      <x:c r="D44" s="16" t="s">
        <x:v>804</x:v>
      </x:c>
      <x:c r="E44" s="16" t="s">
        <x:v>805</x:v>
      </x:c>
      <x:c r="F44" s="16" t="s">
        <x:v>791</x:v>
      </x:c>
      <x:c r="G44" s="33" t="s">
        <x:v>309</x:v>
      </x:c>
      <x:c r="H44" s="33"/>
      <x:c r="I44" s="16"/>
      <x:c r="J44" s="16"/>
      <x:c r="K44" s="16"/>
      <x:c r="L44" s="16"/>
      <x:c r="M44" s="16" t="s">
        <x:v>445</x:v>
      </x:c>
      <x:c r="N44" s="34" t="s">
        <x:v>806</x:v>
      </x:c>
      <x:c r="O44" s="34" t="s">
        <x:v>458</x:v>
      </x:c>
      <x:c r="P44" s="5" t="s">
        <x:v>312</x:v>
      </x:c>
      <x:c r="Q44" s="5" t="s">
        <x:v>312</x:v>
      </x:c>
      <x:c r="R44" s="5" t="s">
        <x:v>807</x:v>
      </x:c>
      <x:c r="S44" s="5" t="s">
        <x:v>460</x:v>
      </x:c>
      <x:c r="T44" s="5" t="s">
        <x:v>461</x:v>
      </x:c>
      <x:c r="U44" s="5" t="s">
        <x:v>462</x:v>
      </x:c>
      <x:c r="V44" s="5" t="s">
        <x:v>463</x:v>
      </x:c>
      <x:c r="W44" s="5" t="s">
        <x:v>464</x:v>
      </x:c>
    </x:row>
    <x:row r="45" ht="300" hidden="0" customHeight="1">
      <x:c r="A45" s="35" t="s">
        <x:v>786</x:v>
      </x:c>
      <x:c r="B45" s="36" t="s">
        <x:v>802</x:v>
      </x:c>
      <x:c r="C45" s="35"/>
      <x:c r="D45" s="35" t="s">
        <x:v>808</x:v>
      </x:c>
      <x:c r="E45" s="35" t="s">
        <x:v>809</x:v>
      </x:c>
      <x:c r="F45" s="35" t="s">
        <x:v>791</x:v>
      </x:c>
      <x:c r="G45" s="37" t="s">
        <x:v>309</x:v>
      </x:c>
      <x:c r="H45" s="37"/>
      <x:c r="I45" s="35"/>
      <x:c r="J45" s="35"/>
      <x:c r="K45" s="35"/>
      <x:c r="L45" s="35"/>
      <x:c r="M45" s="16" t="s">
        <x:v>445</x:v>
      </x:c>
      <x:c r="N45" s="34" t="s">
        <x:v>810</x:v>
      </x:c>
      <x:c r="O45" s="34" t="s">
        <x:v>458</x:v>
      </x:c>
      <x:c r="P45" s="5" t="s">
        <x:v>312</x:v>
      </x:c>
      <x:c r="Q45" s="5" t="s">
        <x:v>312</x:v>
      </x:c>
      <x:c r="R45" s="5" t="s">
        <x:v>811</x:v>
      </x:c>
      <x:c r="S45" s="5" t="s">
        <x:v>460</x:v>
      </x:c>
      <x:c r="T45" s="5" t="s">
        <x:v>461</x:v>
      </x:c>
      <x:c r="U45" s="5" t="s">
        <x:v>462</x:v>
      </x:c>
      <x:c r="V45" s="5" t="s">
        <x:v>463</x:v>
      </x:c>
      <x:c r="W45" s="5" t="s">
        <x:v>464</x:v>
      </x:c>
    </x:row>
    <x:row r="46" ht="300" hidden="0" customHeight="1">
      <x:c r="A46" s="16" t="s">
        <x:v>786</x:v>
      </x:c>
      <x:c r="B46" s="15" t="s">
        <x:v>802</x:v>
      </x:c>
      <x:c r="C46" s="16"/>
      <x:c r="D46" s="16" t="s">
        <x:v>812</x:v>
      </x:c>
      <x:c r="E46" s="16" t="s">
        <x:v>813</x:v>
      </x:c>
      <x:c r="F46" s="16" t="s">
        <x:v>791</x:v>
      </x:c>
      <x:c r="G46" s="33" t="s">
        <x:v>309</x:v>
      </x:c>
      <x:c r="H46" s="33"/>
      <x:c r="I46" s="16"/>
      <x:c r="J46" s="16"/>
      <x:c r="K46" s="16"/>
      <x:c r="L46" s="16"/>
      <x:c r="M46" s="16" t="s">
        <x:v>814</x:v>
      </x:c>
      <x:c r="N46" s="34" t="s">
        <x:v>815</x:v>
      </x:c>
      <x:c r="O46" s="34" t="s">
        <x:v>400</x:v>
      </x:c>
      <x:c r="P46" s="5" t="s">
        <x:v>312</x:v>
      </x:c>
      <x:c r="Q46" s="5" t="s">
        <x:v>312</x:v>
      </x:c>
      <x:c r="R46" s="5" t="s">
        <x:v>816</x:v>
      </x:c>
      <x:c r="S46" s="5" t="s">
        <x:v>402</x:v>
      </x:c>
      <x:c r="T46" s="5" t="s">
        <x:v>403</x:v>
      </x:c>
      <x:c r="U46" s="5" t="s">
        <x:v>404</x:v>
      </x:c>
      <x:c r="V46" s="5" t="s">
        <x:v>405</x:v>
      </x:c>
      <x:c r="W46" s="5" t="s">
        <x:v>406</x:v>
      </x:c>
    </x:row>
    <x:row r="47" ht="297" hidden="0" customHeight="1">
      <x:c r="A47" s="35" t="s">
        <x:v>786</x:v>
      </x:c>
      <x:c r="B47" s="36" t="s">
        <x:v>802</x:v>
      </x:c>
      <x:c r="C47" s="35"/>
      <x:c r="D47" s="35" t="s">
        <x:v>817</x:v>
      </x:c>
      <x:c r="E47" s="35" t="s">
        <x:v>818</x:v>
      </x:c>
      <x:c r="F47" s="35" t="s">
        <x:v>791</x:v>
      </x:c>
      <x:c r="G47" s="37" t="s">
        <x:v>309</x:v>
      </x:c>
      <x:c r="H47" s="37"/>
      <x:c r="I47" s="35"/>
      <x:c r="J47" s="35"/>
      <x:c r="K47" s="35"/>
      <x:c r="L47" s="35"/>
      <x:c r="M47" s="16" t="s">
        <x:v>819</x:v>
      </x:c>
      <x:c r="N47" s="34" t="s">
        <x:v>820</x:v>
      </x:c>
      <x:c r="O47" s="34" t="s">
        <x:v>476</x:v>
      </x:c>
      <x:c r="P47" s="5" t="s">
        <x:v>312</x:v>
      </x:c>
      <x:c r="Q47" s="5" t="s">
        <x:v>312</x:v>
      </x:c>
      <x:c r="R47" s="5" t="s">
        <x:v>821</x:v>
      </x:c>
      <x:c r="S47" s="5" t="s">
        <x:v>478</x:v>
      </x:c>
      <x:c r="T47" s="5" t="s">
        <x:v>479</x:v>
      </x:c>
      <x:c r="U47" s="5" t="s">
        <x:v>480</x:v>
      </x:c>
      <x:c r="V47" s="5" t="s">
        <x:v>481</x:v>
      </x:c>
      <x:c r="W47" s="5" t="s">
        <x:v>482</x:v>
      </x:c>
    </x:row>
    <x:row r="48" ht="300" hidden="0" customHeight="1">
      <x:c r="A48" s="16" t="s">
        <x:v>786</x:v>
      </x:c>
      <x:c r="B48" s="15" t="s">
        <x:v>802</x:v>
      </x:c>
      <x:c r="C48" s="16"/>
      <x:c r="D48" s="16" t="s">
        <x:v>822</x:v>
      </x:c>
      <x:c r="E48" s="16" t="s">
        <x:v>823</x:v>
      </x:c>
      <x:c r="F48" s="16" t="s">
        <x:v>791</x:v>
      </x:c>
      <x:c r="G48" s="33" t="s">
        <x:v>309</x:v>
      </x:c>
      <x:c r="H48" s="33"/>
      <x:c r="I48" s="16"/>
      <x:c r="J48" s="16"/>
      <x:c r="K48" s="16"/>
      <x:c r="L48" s="16"/>
      <x:c r="M48" s="16" t="s">
        <x:v>445</x:v>
      </x:c>
      <x:c r="N48" s="34" t="s">
        <x:v>824</x:v>
      </x:c>
      <x:c r="O48" s="34" t="s">
        <x:v>530</x:v>
      </x:c>
      <x:c r="P48" s="5" t="s">
        <x:v>312</x:v>
      </x:c>
      <x:c r="Q48" s="5" t="s">
        <x:v>312</x:v>
      </x:c>
      <x:c r="R48" s="5" t="s">
        <x:v>825</x:v>
      </x:c>
      <x:c r="S48" s="5" t="s">
        <x:v>532</x:v>
      </x:c>
      <x:c r="T48" s="5" t="s">
        <x:v>533</x:v>
      </x:c>
      <x:c r="U48" s="5" t="s">
        <x:v>534</x:v>
      </x:c>
      <x:c r="V48" s="5" t="s">
        <x:v>535</x:v>
      </x:c>
      <x:c r="W48" s="5" t="s">
        <x:v>536</x:v>
      </x:c>
    </x:row>
    <x:row r="49" ht="300" hidden="0" customHeight="1">
      <x:c r="A49" s="35" t="s">
        <x:v>786</x:v>
      </x:c>
      <x:c r="B49" s="36" t="s">
        <x:v>802</x:v>
      </x:c>
      <x:c r="C49" s="35"/>
      <x:c r="D49" s="35" t="s">
        <x:v>826</x:v>
      </x:c>
      <x:c r="E49" s="35" t="s">
        <x:v>827</x:v>
      </x:c>
      <x:c r="F49" s="35" t="s">
        <x:v>791</x:v>
      </x:c>
      <x:c r="G49" s="37" t="s">
        <x:v>309</x:v>
      </x:c>
      <x:c r="H49" s="37"/>
      <x:c r="I49" s="35"/>
      <x:c r="J49" s="35"/>
      <x:c r="K49" s="35"/>
      <x:c r="L49" s="35"/>
      <x:c r="M49" s="16" t="s">
        <x:v>828</x:v>
      </x:c>
      <x:c r="N49" s="34" t="s">
        <x:v>829</x:v>
      </x:c>
      <x:c r="O49" s="34" t="s">
        <x:v>335</x:v>
      </x:c>
      <x:c r="P49" s="5" t="s">
        <x:v>312</x:v>
      </x:c>
      <x:c r="Q49" s="5" t="s">
        <x:v>312</x:v>
      </x:c>
      <x:c r="R49" s="5" t="s">
        <x:v>830</x:v>
      </x:c>
      <x:c r="S49" s="5" t="s">
        <x:v>337</x:v>
      </x:c>
      <x:c r="T49" s="5" t="s">
        <x:v>338</x:v>
      </x:c>
      <x:c r="U49" s="5" t="s">
        <x:v>339</x:v>
      </x:c>
      <x:c r="V49" s="5" t="s">
        <x:v>340</x:v>
      </x:c>
      <x:c r="W49" s="5" t="s">
        <x:v>341</x:v>
      </x:c>
    </x:row>
    <x:row r="50" ht="300" hidden="0" customHeight="1">
      <x:c r="A50" s="16" t="s">
        <x:v>786</x:v>
      </x:c>
      <x:c r="B50" s="15" t="s">
        <x:v>802</x:v>
      </x:c>
      <x:c r="C50" s="16"/>
      <x:c r="D50" s="16" t="s">
        <x:v>831</x:v>
      </x:c>
      <x:c r="E50" s="16" t="s">
        <x:v>832</x:v>
      </x:c>
      <x:c r="F50" s="16" t="s">
        <x:v>791</x:v>
      </x:c>
      <x:c r="G50" s="33" t="s">
        <x:v>309</x:v>
      </x:c>
      <x:c r="H50" s="33"/>
      <x:c r="I50" s="16"/>
      <x:c r="J50" s="16"/>
      <x:c r="K50" s="16"/>
      <x:c r="L50" s="16"/>
      <x:c r="M50" s="16" t="s">
        <x:v>828</x:v>
      </x:c>
      <x:c r="N50" s="34" t="s">
        <x:v>833</x:v>
      </x:c>
      <x:c r="O50" s="34" t="s">
        <x:v>383</x:v>
      </x:c>
      <x:c r="P50" s="5" t="s">
        <x:v>312</x:v>
      </x:c>
      <x:c r="Q50" s="5" t="s">
        <x:v>312</x:v>
      </x:c>
      <x:c r="R50" s="5" t="s">
        <x:v>834</x:v>
      </x:c>
      <x:c r="S50" s="5" t="s">
        <x:v>385</x:v>
      </x:c>
      <x:c r="T50" s="5" t="s">
        <x:v>386</x:v>
      </x:c>
      <x:c r="U50" s="5" t="s">
        <x:v>387</x:v>
      </x:c>
      <x:c r="V50" s="5" t="s">
        <x:v>388</x:v>
      </x:c>
      <x:c r="W50" s="5" t="s">
        <x:v>389</x:v>
      </x:c>
    </x:row>
    <x:row r="51" ht="300" hidden="0" customHeight="1">
      <x:c r="A51" s="35" t="s">
        <x:v>786</x:v>
      </x:c>
      <x:c r="B51" s="36" t="s">
        <x:v>802</x:v>
      </x:c>
      <x:c r="C51" s="35"/>
      <x:c r="D51" s="35" t="s">
        <x:v>835</x:v>
      </x:c>
      <x:c r="E51" s="35" t="s">
        <x:v>836</x:v>
      </x:c>
      <x:c r="F51" s="35" t="s">
        <x:v>791</x:v>
      </x:c>
      <x:c r="G51" s="37" t="s">
        <x:v>309</x:v>
      </x:c>
      <x:c r="H51" s="37"/>
      <x:c r="I51" s="35"/>
      <x:c r="J51" s="35"/>
      <x:c r="K51" s="35"/>
      <x:c r="L51" s="35"/>
      <x:c r="M51" s="16" t="s">
        <x:v>445</x:v>
      </x:c>
      <x:c r="N51" s="34" t="s">
        <x:v>837</x:v>
      </x:c>
      <x:c r="O51" s="34" t="s">
        <x:v>335</x:v>
      </x:c>
      <x:c r="P51" s="5" t="s">
        <x:v>312</x:v>
      </x:c>
      <x:c r="Q51" s="5" t="s">
        <x:v>312</x:v>
      </x:c>
      <x:c r="R51" s="5" t="s">
        <x:v>838</x:v>
      </x:c>
      <x:c r="S51" s="5" t="s">
        <x:v>337</x:v>
      </x:c>
      <x:c r="T51" s="5" t="s">
        <x:v>338</x:v>
      </x:c>
      <x:c r="U51" s="5" t="s">
        <x:v>339</x:v>
      </x:c>
      <x:c r="V51" s="5" t="s">
        <x:v>340</x:v>
      </x:c>
      <x:c r="W51" s="5" t="s">
        <x:v>341</x:v>
      </x:c>
    </x:row>
    <x:row r="52" ht="300" hidden="0" customHeight="1">
      <x:c r="A52" s="16" t="s">
        <x:v>786</x:v>
      </x:c>
      <x:c r="B52" s="15" t="s">
        <x:v>802</x:v>
      </x:c>
      <x:c r="C52" s="16"/>
      <x:c r="D52" s="16" t="s">
        <x:v>839</x:v>
      </x:c>
      <x:c r="E52" s="16" t="s">
        <x:v>840</x:v>
      </x:c>
      <x:c r="F52" s="16" t="s">
        <x:v>791</x:v>
      </x:c>
      <x:c r="G52" s="33" t="s">
        <x:v>309</x:v>
      </x:c>
      <x:c r="H52" s="33"/>
      <x:c r="I52" s="16"/>
      <x:c r="J52" s="16"/>
      <x:c r="K52" s="16"/>
      <x:c r="L52" s="16"/>
      <x:c r="M52" s="16" t="s">
        <x:v>445</x:v>
      </x:c>
      <x:c r="N52" s="34" t="s">
        <x:v>841</x:v>
      </x:c>
      <x:c r="O52" s="34" t="s">
        <x:v>458</x:v>
      </x:c>
      <x:c r="P52" s="5" t="s">
        <x:v>312</x:v>
      </x:c>
      <x:c r="Q52" s="5" t="s">
        <x:v>312</x:v>
      </x:c>
      <x:c r="R52" s="5" t="s">
        <x:v>842</x:v>
      </x:c>
      <x:c r="S52" s="5" t="s">
        <x:v>460</x:v>
      </x:c>
      <x:c r="T52" s="5" t="s">
        <x:v>461</x:v>
      </x:c>
      <x:c r="U52" s="5" t="s">
        <x:v>462</x:v>
      </x:c>
      <x:c r="V52" s="5" t="s">
        <x:v>463</x:v>
      </x:c>
      <x:c r="W52" s="5" t="s">
        <x:v>464</x:v>
      </x:c>
    </x:row>
    <x:row r="53" ht="300" hidden="0" customHeight="1">
      <x:c r="A53" s="35" t="s">
        <x:v>786</x:v>
      </x:c>
      <x:c r="B53" s="36" t="s">
        <x:v>802</x:v>
      </x:c>
      <x:c r="C53" s="35"/>
      <x:c r="D53" s="35" t="s">
        <x:v>843</x:v>
      </x:c>
      <x:c r="E53" s="35" t="s">
        <x:v>844</x:v>
      </x:c>
      <x:c r="F53" s="35" t="s">
        <x:v>791</x:v>
      </x:c>
      <x:c r="G53" s="37" t="s">
        <x:v>309</x:v>
      </x:c>
      <x:c r="H53" s="37"/>
      <x:c r="I53" s="35"/>
      <x:c r="J53" s="35"/>
      <x:c r="K53" s="35"/>
      <x:c r="L53" s="35"/>
      <x:c r="M53" s="16" t="s">
        <x:v>445</x:v>
      </x:c>
      <x:c r="N53" s="34" t="s">
        <x:v>845</x:v>
      </x:c>
      <x:c r="O53" s="34" t="s">
        <x:v>372</x:v>
      </x:c>
      <x:c r="P53" s="5" t="s">
        <x:v>312</x:v>
      </x:c>
      <x:c r="Q53" s="5" t="s">
        <x:v>312</x:v>
      </x:c>
      <x:c r="R53" s="5" t="s">
        <x:v>846</x:v>
      </x:c>
      <x:c r="S53" s="5" t="s">
        <x:v>374</x:v>
      </x:c>
      <x:c r="T53" s="5" t="s">
        <x:v>375</x:v>
      </x:c>
      <x:c r="U53" s="5" t="s">
        <x:v>376</x:v>
      </x:c>
      <x:c r="V53" s="5" t="s">
        <x:v>377</x:v>
      </x:c>
      <x:c r="W53" s="5" t="s">
        <x:v>378</x:v>
      </x:c>
    </x:row>
    <x:row r="54" ht="300" hidden="0" customHeight="1">
      <x:c r="A54" s="16" t="s">
        <x:v>786</x:v>
      </x:c>
      <x:c r="B54" s="15" t="s">
        <x:v>802</x:v>
      </x:c>
      <x:c r="C54" s="16"/>
      <x:c r="D54" s="16" t="s">
        <x:v>847</x:v>
      </x:c>
      <x:c r="E54" s="16" t="s">
        <x:v>848</x:v>
      </x:c>
      <x:c r="F54" s="16" t="s">
        <x:v>791</x:v>
      </x:c>
      <x:c r="G54" s="33" t="s">
        <x:v>309</x:v>
      </x:c>
      <x:c r="H54" s="33"/>
      <x:c r="I54" s="16"/>
      <x:c r="J54" s="16"/>
      <x:c r="K54" s="16"/>
      <x:c r="L54" s="16"/>
      <x:c r="M54" s="16" t="s">
        <x:v>445</x:v>
      </x:c>
      <x:c r="N54" s="34" t="s">
        <x:v>849</x:v>
      </x:c>
      <x:c r="O54" s="34" t="s">
        <x:v>458</x:v>
      </x:c>
      <x:c r="P54" s="5" t="s">
        <x:v>312</x:v>
      </x:c>
      <x:c r="Q54" s="5" t="s">
        <x:v>312</x:v>
      </x:c>
      <x:c r="R54" s="5" t="s">
        <x:v>850</x:v>
      </x:c>
      <x:c r="S54" s="5" t="s">
        <x:v>460</x:v>
      </x:c>
      <x:c r="T54" s="5" t="s">
        <x:v>461</x:v>
      </x:c>
      <x:c r="U54" s="5" t="s">
        <x:v>462</x:v>
      </x:c>
      <x:c r="V54" s="5" t="s">
        <x:v>463</x:v>
      </x:c>
      <x:c r="W54" s="5" t="s">
        <x:v>464</x:v>
      </x:c>
    </x:row>
    <x:row r="55" ht="300" hidden="0" customHeight="1">
      <x:c r="A55" s="35" t="s">
        <x:v>786</x:v>
      </x:c>
      <x:c r="B55" s="36" t="s">
        <x:v>802</x:v>
      </x:c>
      <x:c r="C55" s="35"/>
      <x:c r="D55" s="35" t="s">
        <x:v>851</x:v>
      </x:c>
      <x:c r="E55" s="35" t="s">
        <x:v>852</x:v>
      </x:c>
      <x:c r="F55" s="35" t="s">
        <x:v>791</x:v>
      </x:c>
      <x:c r="G55" s="37" t="s">
        <x:v>309</x:v>
      </x:c>
      <x:c r="H55" s="37"/>
      <x:c r="I55" s="35"/>
      <x:c r="J55" s="35"/>
      <x:c r="K55" s="35"/>
      <x:c r="L55" s="35"/>
      <x:c r="M55" s="16" t="s">
        <x:v>445</x:v>
      </x:c>
      <x:c r="N55" s="34" t="s">
        <x:v>853</x:v>
      </x:c>
      <x:c r="O55" s="34" t="s">
        <x:v>361</x:v>
      </x:c>
      <x:c r="P55" s="5" t="s">
        <x:v>312</x:v>
      </x:c>
      <x:c r="Q55" s="5" t="s">
        <x:v>312</x:v>
      </x:c>
      <x:c r="R55" s="5" t="s">
        <x:v>854</x:v>
      </x:c>
      <x:c r="S55" s="5" t="s">
        <x:v>363</x:v>
      </x:c>
      <x:c r="T55" s="5" t="s">
        <x:v>364</x:v>
      </x:c>
      <x:c r="U55" s="5" t="s">
        <x:v>365</x:v>
      </x:c>
      <x:c r="V55" s="5" t="s">
        <x:v>366</x:v>
      </x:c>
      <x:c r="W55" s="5" t="s">
        <x:v>367</x:v>
      </x:c>
    </x:row>
    <x:row r="56" ht="300" hidden="0" customHeight="1">
      <x:c r="A56" s="16" t="s">
        <x:v>786</x:v>
      </x:c>
      <x:c r="B56" s="15" t="s">
        <x:v>802</x:v>
      </x:c>
      <x:c r="C56" s="16"/>
      <x:c r="D56" s="16" t="s">
        <x:v>855</x:v>
      </x:c>
      <x:c r="E56" s="16" t="s">
        <x:v>856</x:v>
      </x:c>
      <x:c r="F56" s="16" t="s">
        <x:v>791</x:v>
      </x:c>
      <x:c r="G56" s="33" t="s">
        <x:v>309</x:v>
      </x:c>
      <x:c r="H56" s="33"/>
      <x:c r="I56" s="16"/>
      <x:c r="J56" s="16"/>
      <x:c r="K56" s="16"/>
      <x:c r="L56" s="16"/>
      <x:c r="M56" s="16" t="s">
        <x:v>445</x:v>
      </x:c>
      <x:c r="N56" s="34" t="s">
        <x:v>857</x:v>
      </x:c>
      <x:c r="O56" s="34" t="s">
        <x:v>458</x:v>
      </x:c>
      <x:c r="P56" s="5" t="s">
        <x:v>312</x:v>
      </x:c>
      <x:c r="Q56" s="5" t="s">
        <x:v>312</x:v>
      </x:c>
      <x:c r="R56" s="5" t="s">
        <x:v>858</x:v>
      </x:c>
      <x:c r="S56" s="5" t="s">
        <x:v>460</x:v>
      </x:c>
      <x:c r="T56" s="5" t="s">
        <x:v>461</x:v>
      </x:c>
      <x:c r="U56" s="5" t="s">
        <x:v>462</x:v>
      </x:c>
      <x:c r="V56" s="5" t="s">
        <x:v>463</x:v>
      </x:c>
      <x:c r="W56" s="5" t="s">
        <x:v>464</x:v>
      </x:c>
    </x:row>
    <x:row r="57" ht="300" hidden="0" customHeight="1">
      <x:c r="A57" s="35" t="s">
        <x:v>786</x:v>
      </x:c>
      <x:c r="B57" s="36" t="s">
        <x:v>859</x:v>
      </x:c>
      <x:c r="C57" s="35" t="s">
        <x:v>860</x:v>
      </x:c>
      <x:c r="D57" s="35" t="s">
        <x:v>861</x:v>
      </x:c>
      <x:c r="E57" s="35" t="s">
        <x:v>862</x:v>
      </x:c>
      <x:c r="F57" s="35" t="s">
        <x:v>791</x:v>
      </x:c>
      <x:c r="G57" s="37" t="s">
        <x:v>309</x:v>
      </x:c>
      <x:c r="H57" s="37"/>
      <x:c r="I57" s="35"/>
      <x:c r="J57" s="35"/>
      <x:c r="K57" s="35"/>
      <x:c r="L57" s="35"/>
      <x:c r="M57" s="16" t="s">
        <x:v>863</x:v>
      </x:c>
      <x:c r="N57" s="34" t="s">
        <x:v>864</x:v>
      </x:c>
      <x:c r="O57" s="34" t="s">
        <x:v>400</x:v>
      </x:c>
      <x:c r="P57" s="5" t="s">
        <x:v>312</x:v>
      </x:c>
      <x:c r="Q57" s="5" t="s">
        <x:v>312</x:v>
      </x:c>
      <x:c r="R57" s="5" t="s">
        <x:v>865</x:v>
      </x:c>
      <x:c r="S57" s="5" t="s">
        <x:v>402</x:v>
      </x:c>
      <x:c r="T57" s="5" t="s">
        <x:v>403</x:v>
      </x:c>
      <x:c r="U57" s="5" t="s">
        <x:v>404</x:v>
      </x:c>
      <x:c r="V57" s="5" t="s">
        <x:v>405</x:v>
      </x:c>
      <x:c r="W57" s="5" t="s">
        <x:v>406</x:v>
      </x:c>
    </x:row>
    <x:row r="58" ht="297" hidden="0" customHeight="1">
      <x:c r="A58" s="16" t="s">
        <x:v>786</x:v>
      </x:c>
      <x:c r="B58" s="15" t="s">
        <x:v>859</x:v>
      </x:c>
      <x:c r="C58" s="16"/>
      <x:c r="D58" s="16" t="s">
        <x:v>866</x:v>
      </x:c>
      <x:c r="E58" s="16" t="s">
        <x:v>867</x:v>
      </x:c>
      <x:c r="F58" s="16" t="s">
        <x:v>791</x:v>
      </x:c>
      <x:c r="G58" s="33" t="s">
        <x:v>309</x:v>
      </x:c>
      <x:c r="H58" s="33"/>
      <x:c r="I58" s="16"/>
      <x:c r="J58" s="16"/>
      <x:c r="K58" s="16"/>
      <x:c r="L58" s="16"/>
      <x:c r="M58" s="16"/>
      <x:c r="N58" s="34" t="s">
        <x:v>868</x:v>
      </x:c>
      <x:c r="O58" s="34" t="s">
        <x:v>476</x:v>
      </x:c>
      <x:c r="P58" s="5" t="s">
        <x:v>312</x:v>
      </x:c>
      <x:c r="Q58" s="5" t="s">
        <x:v>312</x:v>
      </x:c>
      <x:c r="R58" s="5" t="s">
        <x:v>869</x:v>
      </x:c>
      <x:c r="S58" s="5" t="s">
        <x:v>478</x:v>
      </x:c>
      <x:c r="T58" s="5" t="s">
        <x:v>479</x:v>
      </x:c>
      <x:c r="U58" s="5" t="s">
        <x:v>480</x:v>
      </x:c>
      <x:c r="V58" s="5" t="s">
        <x:v>481</x:v>
      </x:c>
      <x:c r="W58" s="5" t="s">
        <x:v>482</x:v>
      </x:c>
    </x:row>
    <x:row r="59" ht="300" hidden="0" customHeight="1">
      <x:c r="A59" s="35" t="s">
        <x:v>786</x:v>
      </x:c>
      <x:c r="B59" s="36" t="s">
        <x:v>859</x:v>
      </x:c>
      <x:c r="C59" s="35"/>
      <x:c r="D59" s="35" t="s">
        <x:v>870</x:v>
      </x:c>
      <x:c r="E59" s="35" t="s">
        <x:v>871</x:v>
      </x:c>
      <x:c r="F59" s="35" t="s">
        <x:v>791</x:v>
      </x:c>
      <x:c r="G59" s="37" t="s">
        <x:v>309</x:v>
      </x:c>
      <x:c r="H59" s="37"/>
      <x:c r="I59" s="35"/>
      <x:c r="J59" s="35"/>
      <x:c r="K59" s="35"/>
      <x:c r="L59" s="35"/>
      <x:c r="M59" s="16" t="s">
        <x:v>545</x:v>
      </x:c>
      <x:c r="N59" s="34" t="s">
        <x:v>872</x:v>
      </x:c>
      <x:c r="O59" s="34" t="s">
        <x:v>361</x:v>
      </x:c>
      <x:c r="P59" s="5" t="s">
        <x:v>312</x:v>
      </x:c>
      <x:c r="Q59" s="5" t="s">
        <x:v>312</x:v>
      </x:c>
      <x:c r="R59" s="5" t="s">
        <x:v>873</x:v>
      </x:c>
      <x:c r="S59" s="5" t="s">
        <x:v>363</x:v>
      </x:c>
      <x:c r="T59" s="5" t="s">
        <x:v>364</x:v>
      </x:c>
      <x:c r="U59" s="5" t="s">
        <x:v>365</x:v>
      </x:c>
      <x:c r="V59" s="5" t="s">
        <x:v>366</x:v>
      </x:c>
      <x:c r="W59" s="5" t="s">
        <x:v>367</x:v>
      </x:c>
    </x:row>
    <x:row r="60" ht="300" hidden="0" customHeight="1">
      <x:c r="A60" s="16" t="s">
        <x:v>786</x:v>
      </x:c>
      <x:c r="B60" s="15" t="s">
        <x:v>874</x:v>
      </x:c>
      <x:c r="C60" s="16" t="s">
        <x:v>875</x:v>
      </x:c>
      <x:c r="D60" s="16" t="s">
        <x:v>876</x:v>
      </x:c>
      <x:c r="E60" s="16" t="s">
        <x:v>877</x:v>
      </x:c>
      <x:c r="F60" s="16" t="s">
        <x:v>791</x:v>
      </x:c>
      <x:c r="G60" s="33" t="s">
        <x:v>309</x:v>
      </x:c>
      <x:c r="H60" s="33"/>
      <x:c r="I60" s="16"/>
      <x:c r="J60" s="16"/>
      <x:c r="K60" s="16"/>
      <x:c r="L60" s="16"/>
      <x:c r="M60" s="16"/>
      <x:c r="N60" s="34" t="s">
        <x:v>878</x:v>
      </x:c>
      <x:c r="O60" s="34" t="s">
        <x:v>400</x:v>
      </x:c>
      <x:c r="P60" s="5" t="s">
        <x:v>312</x:v>
      </x:c>
      <x:c r="Q60" s="5" t="s">
        <x:v>312</x:v>
      </x:c>
      <x:c r="R60" s="5" t="s">
        <x:v>879</x:v>
      </x:c>
      <x:c r="S60" s="5" t="s">
        <x:v>402</x:v>
      </x:c>
      <x:c r="T60" s="5" t="s">
        <x:v>403</x:v>
      </x:c>
      <x:c r="U60" s="5" t="s">
        <x:v>404</x:v>
      </x:c>
      <x:c r="V60" s="5" t="s">
        <x:v>405</x:v>
      </x:c>
      <x:c r="W60" s="5" t="s">
        <x:v>406</x:v>
      </x:c>
    </x:row>
    <x:row r="61" ht="300" hidden="0" customHeight="1">
      <x:c r="A61" s="35" t="s">
        <x:v>786</x:v>
      </x:c>
      <x:c r="B61" s="36" t="s">
        <x:v>874</x:v>
      </x:c>
      <x:c r="C61" s="35"/>
      <x:c r="D61" s="35" t="s">
        <x:v>880</x:v>
      </x:c>
      <x:c r="E61" s="35" t="s">
        <x:v>881</x:v>
      </x:c>
      <x:c r="F61" s="35" t="s">
        <x:v>791</x:v>
      </x:c>
      <x:c r="G61" s="37" t="s">
        <x:v>309</x:v>
      </x:c>
      <x:c r="H61" s="37"/>
      <x:c r="I61" s="35"/>
      <x:c r="J61" s="35"/>
      <x:c r="K61" s="35"/>
      <x:c r="L61" s="35"/>
      <x:c r="M61" s="16"/>
      <x:c r="N61" s="34" t="s">
        <x:v>882</x:v>
      </x:c>
      <x:c r="O61" s="34" t="s">
        <x:v>458</x:v>
      </x:c>
      <x:c r="P61" s="5" t="s">
        <x:v>312</x:v>
      </x:c>
      <x:c r="Q61" s="5" t="s">
        <x:v>312</x:v>
      </x:c>
      <x:c r="R61" s="5" t="s">
        <x:v>883</x:v>
      </x:c>
      <x:c r="S61" s="5" t="s">
        <x:v>460</x:v>
      </x:c>
      <x:c r="T61" s="5" t="s">
        <x:v>461</x:v>
      </x:c>
      <x:c r="U61" s="5" t="s">
        <x:v>462</x:v>
      </x:c>
      <x:c r="V61" s="5" t="s">
        <x:v>463</x:v>
      </x:c>
      <x:c r="W61" s="5" t="s">
        <x:v>464</x:v>
      </x:c>
    </x:row>
    <x:row r="62" ht="300" hidden="0" customHeight="1">
      <x:c r="A62" s="16" t="s">
        <x:v>786</x:v>
      </x:c>
      <x:c r="B62" s="15" t="s">
        <x:v>874</x:v>
      </x:c>
      <x:c r="C62" s="16"/>
      <x:c r="D62" s="16" t="s">
        <x:v>884</x:v>
      </x:c>
      <x:c r="E62" s="16" t="s">
        <x:v>885</x:v>
      </x:c>
      <x:c r="F62" s="16" t="s">
        <x:v>791</x:v>
      </x:c>
      <x:c r="G62" s="33" t="s">
        <x:v>309</x:v>
      </x:c>
      <x:c r="H62" s="33"/>
      <x:c r="I62" s="16"/>
      <x:c r="J62" s="16"/>
      <x:c r="K62" s="16"/>
      <x:c r="L62" s="16"/>
      <x:c r="M62" s="16"/>
      <x:c r="N62" s="34" t="s">
        <x:v>886</x:v>
      </x:c>
      <x:c r="O62" s="34" t="s">
        <x:v>476</x:v>
      </x:c>
      <x:c r="P62" s="5" t="s">
        <x:v>312</x:v>
      </x:c>
      <x:c r="Q62" s="5" t="s">
        <x:v>312</x:v>
      </x:c>
      <x:c r="R62" s="5" t="s">
        <x:v>887</x:v>
      </x:c>
      <x:c r="S62" s="5" t="s">
        <x:v>478</x:v>
      </x:c>
      <x:c r="T62" s="5" t="s">
        <x:v>479</x:v>
      </x:c>
      <x:c r="U62" s="5" t="s">
        <x:v>480</x:v>
      </x:c>
      <x:c r="V62" s="5" t="s">
        <x:v>481</x:v>
      </x:c>
      <x:c r="W62" s="5" t="s">
        <x:v>482</x:v>
      </x:c>
    </x:row>
    <x:row r="63" ht="300" hidden="0" customHeight="1">
      <x:c r="A63" s="35" t="s">
        <x:v>888</x:v>
      </x:c>
      <x:c r="B63" s="36" t="s">
        <x:v>889</x:v>
      </x:c>
      <x:c r="C63" s="35" t="s">
        <x:v>890</x:v>
      </x:c>
      <x:c r="D63" s="35" t="s">
        <x:v>891</x:v>
      </x:c>
      <x:c r="E63" s="35" t="s">
        <x:v>892</x:v>
      </x:c>
      <x:c r="F63" s="35" t="s">
        <x:v>140</x:v>
      </x:c>
      <x:c r="G63" s="37" t="s">
        <x:v>309</x:v>
      </x:c>
      <x:c r="H63" s="37"/>
      <x:c r="I63" s="35"/>
      <x:c r="J63" s="35"/>
      <x:c r="K63" s="35"/>
      <x:c r="L63" s="35"/>
      <x:c r="M63" s="16" t="s">
        <x:v>893</x:v>
      </x:c>
      <x:c r="N63" s="34" t="s">
        <x:v>894</x:v>
      </x:c>
      <x:c r="O63" s="34" t="s">
        <x:v>400</x:v>
      </x:c>
      <x:c r="P63" s="5" t="s">
        <x:v>312</x:v>
      </x:c>
      <x:c r="Q63" s="5" t="s">
        <x:v>312</x:v>
      </x:c>
      <x:c r="R63" s="5" t="s">
        <x:v>895</x:v>
      </x:c>
      <x:c r="S63" s="5" t="s">
        <x:v>402</x:v>
      </x:c>
      <x:c r="T63" s="5" t="s">
        <x:v>403</x:v>
      </x:c>
      <x:c r="U63" s="5" t="s">
        <x:v>404</x:v>
      </x:c>
      <x:c r="V63" s="5" t="s">
        <x:v>405</x:v>
      </x:c>
      <x:c r="W63" s="5" t="s">
        <x:v>406</x:v>
      </x:c>
    </x:row>
    <x:row r="64" ht="300" hidden="0" customHeight="1">
      <x:c r="A64" s="16" t="s">
        <x:v>888</x:v>
      </x:c>
      <x:c r="B64" s="15" t="s">
        <x:v>889</x:v>
      </x:c>
      <x:c r="C64" s="16"/>
      <x:c r="D64" s="16" t="s">
        <x:v>896</x:v>
      </x:c>
      <x:c r="E64" s="16" t="s">
        <x:v>897</x:v>
      </x:c>
      <x:c r="F64" s="16" t="s">
        <x:v>140</x:v>
      </x:c>
      <x:c r="G64" s="33" t="s">
        <x:v>309</x:v>
      </x:c>
      <x:c r="H64" s="33"/>
      <x:c r="I64" s="16"/>
      <x:c r="J64" s="16"/>
      <x:c r="K64" s="16"/>
      <x:c r="L64" s="16"/>
      <x:c r="M64" s="16" t="s">
        <x:v>898</x:v>
      </x:c>
      <x:c r="N64" s="34" t="s">
        <x:v>899</x:v>
      </x:c>
      <x:c r="O64" s="34" t="s">
        <x:v>361</x:v>
      </x:c>
      <x:c r="P64" s="5" t="s">
        <x:v>312</x:v>
      </x:c>
      <x:c r="Q64" s="5" t="s">
        <x:v>312</x:v>
      </x:c>
      <x:c r="R64" s="5" t="s">
        <x:v>900</x:v>
      </x:c>
      <x:c r="S64" s="5" t="s">
        <x:v>363</x:v>
      </x:c>
      <x:c r="T64" s="5" t="s">
        <x:v>364</x:v>
      </x:c>
      <x:c r="U64" s="5" t="s">
        <x:v>365</x:v>
      </x:c>
      <x:c r="V64" s="5" t="s">
        <x:v>366</x:v>
      </x:c>
      <x:c r="W64" s="5" t="s">
        <x:v>367</x:v>
      </x:c>
    </x:row>
    <x:row r="65" ht="300" hidden="0" customHeight="1">
      <x:c r="A65" s="35" t="s">
        <x:v>888</x:v>
      </x:c>
      <x:c r="B65" s="36" t="s">
        <x:v>889</x:v>
      </x:c>
      <x:c r="C65" s="35"/>
      <x:c r="D65" s="35" t="s">
        <x:v>901</x:v>
      </x:c>
      <x:c r="E65" s="35" t="s">
        <x:v>902</x:v>
      </x:c>
      <x:c r="F65" s="35" t="s">
        <x:v>140</x:v>
      </x:c>
      <x:c r="G65" s="37" t="s">
        <x:v>309</x:v>
      </x:c>
      <x:c r="H65" s="37"/>
      <x:c r="I65" s="35"/>
      <x:c r="J65" s="35"/>
      <x:c r="K65" s="35"/>
      <x:c r="L65" s="35"/>
      <x:c r="M65" s="16" t="s">
        <x:v>898</x:v>
      </x:c>
      <x:c r="N65" s="34" t="s">
        <x:v>903</x:v>
      </x:c>
      <x:c r="O65" s="34" t="s">
        <x:v>347</x:v>
      </x:c>
      <x:c r="P65" s="5" t="s">
        <x:v>312</x:v>
      </x:c>
      <x:c r="Q65" s="5" t="s">
        <x:v>312</x:v>
      </x:c>
      <x:c r="R65" s="5" t="s">
        <x:v>904</x:v>
      </x:c>
      <x:c r="S65" s="5" t="s">
        <x:v>349</x:v>
      </x:c>
      <x:c r="T65" s="5" t="s">
        <x:v>350</x:v>
      </x:c>
      <x:c r="U65" s="5" t="s">
        <x:v>351</x:v>
      </x:c>
      <x:c r="V65" s="5" t="s">
        <x:v>352</x:v>
      </x:c>
      <x:c r="W65" s="5" t="s">
        <x:v>353</x:v>
      </x:c>
    </x:row>
    <x:row r="66" ht="300" hidden="0" customHeight="1">
      <x:c r="A66" s="16" t="s">
        <x:v>888</x:v>
      </x:c>
      <x:c r="B66" s="15" t="s">
        <x:v>889</x:v>
      </x:c>
      <x:c r="C66" s="16"/>
      <x:c r="D66" s="16" t="s">
        <x:v>905</x:v>
      </x:c>
      <x:c r="E66" s="16" t="s">
        <x:v>906</x:v>
      </x:c>
      <x:c r="F66" s="16" t="s">
        <x:v>140</x:v>
      </x:c>
      <x:c r="G66" s="33" t="s">
        <x:v>309</x:v>
      </x:c>
      <x:c r="H66" s="33"/>
      <x:c r="I66" s="16"/>
      <x:c r="J66" s="16"/>
      <x:c r="K66" s="16"/>
      <x:c r="L66" s="16"/>
      <x:c r="M66" s="16" t="s">
        <x:v>898</x:v>
      </x:c>
      <x:c r="N66" s="34" t="s">
        <x:v>907</x:v>
      </x:c>
      <x:c r="O66" s="34" t="s">
        <x:v>361</x:v>
      </x:c>
      <x:c r="P66" s="5" t="s">
        <x:v>312</x:v>
      </x:c>
      <x:c r="Q66" s="5" t="s">
        <x:v>312</x:v>
      </x:c>
      <x:c r="R66" s="5" t="s">
        <x:v>908</x:v>
      </x:c>
      <x:c r="S66" s="5" t="s">
        <x:v>363</x:v>
      </x:c>
      <x:c r="T66" s="5" t="s">
        <x:v>364</x:v>
      </x:c>
      <x:c r="U66" s="5" t="s">
        <x:v>365</x:v>
      </x:c>
      <x:c r="V66" s="5" t="s">
        <x:v>366</x:v>
      </x:c>
      <x:c r="W66" s="5" t="s">
        <x:v>367</x:v>
      </x:c>
    </x:row>
    <x:row r="67" ht="300" hidden="0" customHeight="1">
      <x:c r="A67" s="35" t="s">
        <x:v>888</x:v>
      </x:c>
      <x:c r="B67" s="36" t="s">
        <x:v>909</x:v>
      </x:c>
      <x:c r="C67" s="35" t="s">
        <x:v>910</x:v>
      </x:c>
      <x:c r="D67" s="35" t="s">
        <x:v>911</x:v>
      </x:c>
      <x:c r="E67" s="35" t="s">
        <x:v>912</x:v>
      </x:c>
      <x:c r="F67" s="35" t="s">
        <x:v>140</x:v>
      </x:c>
      <x:c r="G67" s="37" t="s">
        <x:v>309</x:v>
      </x:c>
      <x:c r="H67" s="37"/>
      <x:c r="I67" s="35"/>
      <x:c r="J67" s="35"/>
      <x:c r="K67" s="35"/>
      <x:c r="L67" s="35"/>
      <x:c r="M67" s="16"/>
      <x:c r="N67" s="34" t="s">
        <x:v>913</x:v>
      </x:c>
      <x:c r="O67" s="34" t="s">
        <x:v>361</x:v>
      </x:c>
      <x:c r="P67" s="5" t="s">
        <x:v>312</x:v>
      </x:c>
      <x:c r="Q67" s="5" t="s">
        <x:v>312</x:v>
      </x:c>
      <x:c r="R67" s="5" t="s">
        <x:v>914</x:v>
      </x:c>
      <x:c r="S67" s="5" t="s">
        <x:v>363</x:v>
      </x:c>
      <x:c r="T67" s="5" t="s">
        <x:v>364</x:v>
      </x:c>
      <x:c r="U67" s="5" t="s">
        <x:v>365</x:v>
      </x:c>
      <x:c r="V67" s="5" t="s">
        <x:v>366</x:v>
      </x:c>
      <x:c r="W67" s="5" t="s">
        <x:v>367</x:v>
      </x:c>
    </x:row>
    <x:row r="68" ht="300" hidden="0" customHeight="1">
      <x:c r="A68" s="16" t="s">
        <x:v>888</x:v>
      </x:c>
      <x:c r="B68" s="15" t="s">
        <x:v>909</x:v>
      </x:c>
      <x:c r="C68" s="16"/>
      <x:c r="D68" s="16" t="s">
        <x:v>915</x:v>
      </x:c>
      <x:c r="E68" s="16" t="s">
        <x:v>916</x:v>
      </x:c>
      <x:c r="F68" s="16" t="s">
        <x:v>140</x:v>
      </x:c>
      <x:c r="G68" s="33" t="s">
        <x:v>309</x:v>
      </x:c>
      <x:c r="H68" s="33"/>
      <x:c r="I68" s="16"/>
      <x:c r="J68" s="16"/>
      <x:c r="K68" s="16"/>
      <x:c r="L68" s="16"/>
      <x:c r="M68" s="16"/>
      <x:c r="N68" s="34" t="s">
        <x:v>917</x:v>
      </x:c>
      <x:c r="O68" s="34" t="s">
        <x:v>400</x:v>
      </x:c>
      <x:c r="P68" s="5" t="s">
        <x:v>312</x:v>
      </x:c>
      <x:c r="Q68" s="5" t="s">
        <x:v>312</x:v>
      </x:c>
      <x:c r="R68" s="5" t="s">
        <x:v>918</x:v>
      </x:c>
      <x:c r="S68" s="5" t="s">
        <x:v>402</x:v>
      </x:c>
      <x:c r="T68" s="5" t="s">
        <x:v>403</x:v>
      </x:c>
      <x:c r="U68" s="5" t="s">
        <x:v>404</x:v>
      </x:c>
      <x:c r="V68" s="5" t="s">
        <x:v>405</x:v>
      </x:c>
      <x:c r="W68" s="5" t="s">
        <x:v>406</x:v>
      </x:c>
    </x:row>
    <x:row r="69" ht="300" hidden="0" customHeight="1">
      <x:c r="A69" s="35" t="s">
        <x:v>888</x:v>
      </x:c>
      <x:c r="B69" s="36" t="s">
        <x:v>909</x:v>
      </x:c>
      <x:c r="C69" s="35"/>
      <x:c r="D69" s="35" t="s">
        <x:v>919</x:v>
      </x:c>
      <x:c r="E69" s="35" t="s">
        <x:v>920</x:v>
      </x:c>
      <x:c r="F69" s="35" t="s">
        <x:v>140</x:v>
      </x:c>
      <x:c r="G69" s="37" t="s">
        <x:v>309</x:v>
      </x:c>
      <x:c r="H69" s="37"/>
      <x:c r="I69" s="35"/>
      <x:c r="J69" s="35"/>
      <x:c r="K69" s="35"/>
      <x:c r="L69" s="35"/>
      <x:c r="M69" s="16" t="s">
        <x:v>345</x:v>
      </x:c>
      <x:c r="N69" s="34" t="s">
        <x:v>921</x:v>
      </x:c>
      <x:c r="O69" s="34" t="s">
        <x:v>347</x:v>
      </x:c>
      <x:c r="P69" s="5" t="s">
        <x:v>312</x:v>
      </x:c>
      <x:c r="Q69" s="5" t="s">
        <x:v>312</x:v>
      </x:c>
      <x:c r="R69" s="5" t="s">
        <x:v>922</x:v>
      </x:c>
      <x:c r="S69" s="5" t="s">
        <x:v>349</x:v>
      </x:c>
      <x:c r="T69" s="5" t="s">
        <x:v>350</x:v>
      </x:c>
      <x:c r="U69" s="5" t="s">
        <x:v>351</x:v>
      </x:c>
      <x:c r="V69" s="5" t="s">
        <x:v>352</x:v>
      </x:c>
      <x:c r="W69" s="5" t="s">
        <x:v>353</x:v>
      </x:c>
    </x:row>
    <x:row r="70" ht="300" hidden="0" customHeight="1">
      <x:c r="A70" s="16" t="s">
        <x:v>888</x:v>
      </x:c>
      <x:c r="B70" s="15" t="s">
        <x:v>909</x:v>
      </x:c>
      <x:c r="C70" s="16"/>
      <x:c r="D70" s="16" t="s">
        <x:v>923</x:v>
      </x:c>
      <x:c r="E70" s="16" t="s">
        <x:v>924</x:v>
      </x:c>
      <x:c r="F70" s="16" t="s">
        <x:v>140</x:v>
      </x:c>
      <x:c r="G70" s="33" t="s">
        <x:v>309</x:v>
      </x:c>
      <x:c r="H70" s="33"/>
      <x:c r="I70" s="16"/>
      <x:c r="J70" s="16"/>
      <x:c r="K70" s="16"/>
      <x:c r="L70" s="16"/>
      <x:c r="M70" s="16" t="s">
        <x:v>925</x:v>
      </x:c>
      <x:c r="N70" s="34" t="s">
        <x:v>926</x:v>
      </x:c>
      <x:c r="O70" s="34" t="s">
        <x:v>347</x:v>
      </x:c>
      <x:c r="P70" s="5" t="s">
        <x:v>312</x:v>
      </x:c>
      <x:c r="Q70" s="5" t="s">
        <x:v>312</x:v>
      </x:c>
      <x:c r="R70" s="5" t="s">
        <x:v>927</x:v>
      </x:c>
      <x:c r="S70" s="5" t="s">
        <x:v>349</x:v>
      </x:c>
      <x:c r="T70" s="5" t="s">
        <x:v>350</x:v>
      </x:c>
      <x:c r="U70" s="5" t="s">
        <x:v>351</x:v>
      </x:c>
      <x:c r="V70" s="5" t="s">
        <x:v>352</x:v>
      </x:c>
      <x:c r="W70" s="5" t="s">
        <x:v>353</x:v>
      </x:c>
    </x:row>
    <x:row r="71" ht="300" hidden="0" customHeight="1">
      <x:c r="A71" s="35" t="s">
        <x:v>888</x:v>
      </x:c>
      <x:c r="B71" s="36" t="s">
        <x:v>928</x:v>
      </x:c>
      <x:c r="C71" s="35" t="s">
        <x:v>929</x:v>
      </x:c>
      <x:c r="D71" s="35" t="s">
        <x:v>930</x:v>
      </x:c>
      <x:c r="E71" s="35" t="s">
        <x:v>931</x:v>
      </x:c>
      <x:c r="F71" s="35" t="s">
        <x:v>140</x:v>
      </x:c>
      <x:c r="G71" s="37" t="s">
        <x:v>309</x:v>
      </x:c>
      <x:c r="H71" s="37"/>
      <x:c r="I71" s="35"/>
      <x:c r="J71" s="35"/>
      <x:c r="K71" s="35"/>
      <x:c r="L71" s="35"/>
      <x:c r="M71" s="16" t="s">
        <x:v>575</x:v>
      </x:c>
      <x:c r="N71" s="34" t="s">
        <x:v>932</x:v>
      </x:c>
      <x:c r="O71" s="34" t="s">
        <x:v>577</x:v>
      </x:c>
      <x:c r="P71" s="5" t="s">
        <x:v>312</x:v>
      </x:c>
      <x:c r="Q71" s="5" t="s">
        <x:v>312</x:v>
      </x:c>
      <x:c r="R71" s="5" t="s">
        <x:v>933</x:v>
      </x:c>
      <x:c r="S71" s="5" t="s">
        <x:v>579</x:v>
      </x:c>
      <x:c r="T71" s="5" t="s">
        <x:v>580</x:v>
      </x:c>
      <x:c r="U71" s="5" t="s">
        <x:v>581</x:v>
      </x:c>
      <x:c r="V71" s="5" t="s">
        <x:v>582</x:v>
      </x:c>
      <x:c r="W71" s="5" t="s">
        <x:v>583</x:v>
      </x:c>
    </x:row>
    <x:row r="72" ht="297" hidden="0" customHeight="1">
      <x:c r="A72" s="16" t="s">
        <x:v>888</x:v>
      </x:c>
      <x:c r="B72" s="15" t="s">
        <x:v>928</x:v>
      </x:c>
      <x:c r="C72" s="16"/>
      <x:c r="D72" s="16" t="s">
        <x:v>934</x:v>
      </x:c>
      <x:c r="E72" s="16" t="s">
        <x:v>935</x:v>
      </x:c>
      <x:c r="F72" s="16" t="s">
        <x:v>140</x:v>
      </x:c>
      <x:c r="G72" s="33" t="s">
        <x:v>309</x:v>
      </x:c>
      <x:c r="H72" s="33"/>
      <x:c r="I72" s="16"/>
      <x:c r="J72" s="16"/>
      <x:c r="K72" s="16"/>
      <x:c r="L72" s="16"/>
      <x:c r="M72" s="16" t="s">
        <x:v>575</x:v>
      </x:c>
      <x:c r="N72" s="34" t="s">
        <x:v>936</x:v>
      </x:c>
      <x:c r="O72" s="34" t="s">
        <x:v>476</x:v>
      </x:c>
      <x:c r="P72" s="5" t="s">
        <x:v>312</x:v>
      </x:c>
      <x:c r="Q72" s="5" t="s">
        <x:v>312</x:v>
      </x:c>
      <x:c r="R72" s="5" t="s">
        <x:v>937</x:v>
      </x:c>
      <x:c r="S72" s="5" t="s">
        <x:v>478</x:v>
      </x:c>
      <x:c r="T72" s="5" t="s">
        <x:v>479</x:v>
      </x:c>
      <x:c r="U72" s="5" t="s">
        <x:v>480</x:v>
      </x:c>
      <x:c r="V72" s="5" t="s">
        <x:v>481</x:v>
      </x:c>
      <x:c r="W72" s="5" t="s">
        <x:v>482</x:v>
      </x:c>
    </x:row>
    <x:row r="73" ht="300" hidden="0" customHeight="1">
      <x:c r="A73" s="35" t="s">
        <x:v>888</x:v>
      </x:c>
      <x:c r="B73" s="36" t="s">
        <x:v>938</x:v>
      </x:c>
      <x:c r="C73" s="35" t="s">
        <x:v>939</x:v>
      </x:c>
      <x:c r="D73" s="35" t="s">
        <x:v>940</x:v>
      </x:c>
      <x:c r="E73" s="35" t="s">
        <x:v>941</x:v>
      </x:c>
      <x:c r="F73" s="35" t="s">
        <x:v>140</x:v>
      </x:c>
      <x:c r="G73" s="37" t="s">
        <x:v>309</x:v>
      </x:c>
      <x:c r="H73" s="37"/>
      <x:c r="I73" s="35"/>
      <x:c r="J73" s="35"/>
      <x:c r="K73" s="35"/>
      <x:c r="L73" s="35"/>
      <x:c r="M73" s="16" t="s">
        <x:v>863</x:v>
      </x:c>
      <x:c r="N73" s="34" t="s">
        <x:v>942</x:v>
      </x:c>
      <x:c r="O73" s="34" t="s">
        <x:v>347</x:v>
      </x:c>
      <x:c r="P73" s="5" t="s">
        <x:v>312</x:v>
      </x:c>
      <x:c r="Q73" s="5" t="s">
        <x:v>312</x:v>
      </x:c>
      <x:c r="R73" s="5" t="s">
        <x:v>943</x:v>
      </x:c>
      <x:c r="S73" s="5" t="s">
        <x:v>349</x:v>
      </x:c>
      <x:c r="T73" s="5" t="s">
        <x:v>350</x:v>
      </x:c>
      <x:c r="U73" s="5" t="s">
        <x:v>351</x:v>
      </x:c>
      <x:c r="V73" s="5" t="s">
        <x:v>352</x:v>
      </x:c>
      <x:c r="W73" s="5" t="s">
        <x:v>353</x:v>
      </x:c>
    </x:row>
    <x:row r="74" ht="300" hidden="0" customHeight="1">
      <x:c r="A74" s="16" t="s">
        <x:v>888</x:v>
      </x:c>
      <x:c r="B74" s="15" t="s">
        <x:v>938</x:v>
      </x:c>
      <x:c r="C74" s="16"/>
      <x:c r="D74" s="16" t="s">
        <x:v>944</x:v>
      </x:c>
      <x:c r="E74" s="16" t="s">
        <x:v>945</x:v>
      </x:c>
      <x:c r="F74" s="16" t="s">
        <x:v>140</x:v>
      </x:c>
      <x:c r="G74" s="33" t="s">
        <x:v>309</x:v>
      </x:c>
      <x:c r="H74" s="33"/>
      <x:c r="I74" s="16"/>
      <x:c r="J74" s="16"/>
      <x:c r="K74" s="16"/>
      <x:c r="L74" s="16"/>
      <x:c r="M74" s="16" t="s">
        <x:v>327</x:v>
      </x:c>
      <x:c r="N74" s="34" t="s">
        <x:v>946</x:v>
      </x:c>
      <x:c r="O74" s="34" t="s">
        <x:v>947</x:v>
      </x:c>
      <x:c r="P74" s="5" t="s">
        <x:v>312</x:v>
      </x:c>
      <x:c r="Q74" s="5" t="s">
        <x:v>312</x:v>
      </x:c>
      <x:c r="R74" s="5" t="s">
        <x:v>948</x:v>
      </x:c>
      <x:c r="S74" s="5" t="s">
        <x:v>949</x:v>
      </x:c>
      <x:c r="T74" s="5" t="s">
        <x:v>950</x:v>
      </x:c>
      <x:c r="U74" s="5" t="s">
        <x:v>951</x:v>
      </x:c>
      <x:c r="V74" s="5" t="s">
        <x:v>952</x:v>
      </x:c>
      <x:c r="W74" s="5" t="s">
        <x:v>953</x:v>
      </x:c>
    </x:row>
    <x:row r="75" ht="300" hidden="0" customHeight="1">
      <x:c r="A75" s="35" t="s">
        <x:v>888</x:v>
      </x:c>
      <x:c r="B75" s="36" t="s">
        <x:v>938</x:v>
      </x:c>
      <x:c r="C75" s="35"/>
      <x:c r="D75" s="35" t="s">
        <x:v>954</x:v>
      </x:c>
      <x:c r="E75" s="35" t="s">
        <x:v>955</x:v>
      </x:c>
      <x:c r="F75" s="35" t="s">
        <x:v>140</x:v>
      </x:c>
      <x:c r="G75" s="37" t="s">
        <x:v>309</x:v>
      </x:c>
      <x:c r="H75" s="37"/>
      <x:c r="I75" s="35"/>
      <x:c r="J75" s="35"/>
      <x:c r="K75" s="35"/>
      <x:c r="L75" s="35"/>
      <x:c r="M75" s="16" t="s">
        <x:v>345</x:v>
      </x:c>
      <x:c r="N75" s="34" t="s">
        <x:v>956</x:v>
      </x:c>
      <x:c r="O75" s="34" t="s">
        <x:v>347</x:v>
      </x:c>
      <x:c r="P75" s="5" t="s">
        <x:v>312</x:v>
      </x:c>
      <x:c r="Q75" s="5" t="s">
        <x:v>312</x:v>
      </x:c>
      <x:c r="R75" s="5" t="s">
        <x:v>957</x:v>
      </x:c>
      <x:c r="S75" s="5" t="s">
        <x:v>349</x:v>
      </x:c>
      <x:c r="T75" s="5" t="s">
        <x:v>350</x:v>
      </x:c>
      <x:c r="U75" s="5" t="s">
        <x:v>351</x:v>
      </x:c>
      <x:c r="V75" s="5" t="s">
        <x:v>352</x:v>
      </x:c>
      <x:c r="W75" s="5" t="s">
        <x:v>353</x:v>
      </x:c>
    </x:row>
  </x:sheetData>
  <x:mergeCells>
    <x:mergeCell ref="A1:E1"/>
  </x:mergeCells>
  <x:dataValidations count="4">
    <x:dataValidation type="list" errorStyle="stop" operator="between" allowBlank="1" showDropDown="0" showInputMessage="0" showErrorMessage="0" sqref="P4:P75">
      <x:formula1>"Not tested,Adequate,Partially adequate,Inadequate,Not applicable"</x:formula1>
      <x:formula2>0</x:formula2>
    </x:dataValidation>
    <x:dataValidation type="list" errorStyle="stop" operator="between" allowBlank="1" showDropDown="0" showInputMessage="0" showErrorMessage="0" sqref="Q4:Q75">
      <x:formula1>"Not tested,Effective,Partially effective,Ineffective,Not applicable"</x:formula1>
      <x:formula2>0</x:formula2>
    </x:dataValidation>
    <x:dataValidation type="list" errorStyle="stop" operator="between" allowBlank="1" showDropDown="0" showInputMessage="0" showErrorMessage="0" sqref="G4:G75">
      <x:formula1>"Not started,In progress,Implemented,Operating effectively,Not applicable"</x:formula1>
      <x:formula2>0</x:formula2>
    </x:dataValidation>
    <x:dataValidation type="list" errorStyle="stop" operator="between" allowBlank="1" showDropDown="0" showInputMessage="0" showErrorMessage="0" sqref="H4:H75">
      <x:formula1>"1,2,3,4,5"</x:formula1>
      <x:formula2>0</x:formula2>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ColWidth="8.6796875" defaultRowHeight="14.25"/>
  <x:cols>
    <x:col min="1" max="1" width="24" style="1" hidden="0" customWidth="1"/>
    <x:col min="2" max="2" width="8" style="1" hidden="0" customWidth="1"/>
    <x:col min="3" max="3" width="40" style="1" hidden="0" customWidth="1"/>
    <x:col min="4" max="5" width="22" style="1" hidden="0" customWidth="1"/>
    <x:col min="6" max="6" width="32" style="1" hidden="0" customWidth="1"/>
    <x:col min="7" max="7" width="24" style="1" hidden="0" customWidth="1"/>
    <x:col min="8" max="8" width="18" style="1" hidden="0" customWidth="1"/>
    <x:col min="9" max="9" width="14.140000343322754" style="1" hidden="0" customWidth="1"/>
    <x:col min="10" max="10" width="26" style="1" hidden="0" customWidth="1"/>
    <x:col min="11" max="12" width="13" style="1" hidden="0" customWidth="1"/>
    <x:col min="13" max="13" width="30" style="1" hidden="0" customWidth="1"/>
    <x:col min="14" max="15" width="16" style="1" hidden="0" customWidth="1"/>
    <x:col min="16" max="16" width="46" style="1" hidden="0" customWidth="1"/>
    <x:col min="17" max="17" width="52" style="1" hidden="0" customWidth="1"/>
    <x:col min="18" max="18" width="26" style="1" hidden="0" customWidth="1"/>
    <x:col min="19" max="20" width="18" style="1" hidden="0" customWidth="1"/>
    <x:col min="21" max="21" width="62" style="1" hidden="0" customWidth="1"/>
    <x:col min="22" max="22" width="52" style="1" hidden="0" customWidth="1"/>
    <x:col min="23" max="24" width="62" style="1" hidden="0" customWidth="1"/>
    <x:col min="25" max="25" width="56" style="1" hidden="0" customWidth="1"/>
    <x:col min="26" max="26" width="26" style="1" hidden="0" customWidth="1"/>
  </x:cols>
  <x:sheetData>
    <x:row r="1" ht="15.75" hidden="0" customHeight="1">
      <x:c r="A1" s="13" t="s">
        <x:v>958</x:v>
      </x:c>
      <x:c r="B1" s="13"/>
      <x:c r="C1" s="13"/>
      <x:c r="D1" s="13"/>
      <x:c r="E1" s="13"/>
      <x:c r="F1" s="13"/>
    </x:row>
    <x:row r="2" ht="42" hidden="0" customHeight="1">
      <x:c r="P2" s="39" t="s">
        <x:v>959</x:v>
      </x:c>
      <x:c r="Q2" s="39"/>
    </x:row>
    <x:row r="3" ht="38.25" hidden="0" customHeight="1">
      <x:c r="A3" s="40" t="s">
        <x:v>960</x:v>
      </x:c>
      <x:c r="B3" s="40" t="s">
        <x:v>961</x:v>
      </x:c>
      <x:c r="C3" s="40" t="s">
        <x:v>962</x:v>
      </x:c>
      <x:c r="D3" s="40" t="s">
        <x:v>963</x:v>
      </x:c>
      <x:c r="E3" s="40" t="s">
        <x:v>964</x:v>
      </x:c>
      <x:c r="F3" s="40" t="s">
        <x:v>965</x:v>
      </x:c>
      <x:c r="G3" s="40" t="s">
        <x:v>286</x:v>
      </x:c>
      <x:c r="H3" s="40" t="s">
        <x:v>287</x:v>
      </x:c>
      <x:c r="I3" s="40" t="s">
        <x:v>288</x:v>
      </x:c>
      <x:c r="J3" s="40" t="s">
        <x:v>289</x:v>
      </x:c>
      <x:c r="K3" s="40" t="s">
        <x:v>290</x:v>
      </x:c>
      <x:c r="L3" s="40" t="s">
        <x:v>291</x:v>
      </x:c>
      <x:c r="M3" s="40" t="s">
        <x:v>292</x:v>
      </x:c>
      <x:c r="N3" s="40" t="s">
        <x:v>293</x:v>
      </x:c>
      <x:c r="O3" s="40" t="s">
        <x:v>966</x:v>
      </x:c>
      <x:c r="P3" s="40" t="s">
        <x:v>294</x:v>
      </x:c>
      <x:c r="Q3" s="40" t="s">
        <x:v>295</x:v>
      </x:c>
      <x:c r="R3" s="40" t="s">
        <x:v>967</x:v>
      </x:c>
      <x:c r="S3" s="32" t="s">
        <x:v>296</x:v>
      </x:c>
      <x:c r="T3" s="32" t="s">
        <x:v>297</x:v>
      </x:c>
      <x:c r="U3" s="32" t="s">
        <x:v>298</x:v>
      </x:c>
      <x:c r="V3" s="32" t="s">
        <x:v>299</x:v>
      </x:c>
      <x:c r="W3" s="32" t="s">
        <x:v>300</x:v>
      </x:c>
      <x:c r="X3" s="32" t="s">
        <x:v>301</x:v>
      </x:c>
      <x:c r="Y3" s="32" t="s">
        <x:v>302</x:v>
      </x:c>
      <x:c r="Z3" s="32" t="s">
        <x:v>303</x:v>
      </x:c>
    </x:row>
    <x:row r="4" ht="186" hidden="0" customHeight="1">
      <x:c r="A4" s="16" t="s">
        <x:v>968</x:v>
      </x:c>
      <x:c r="B4" s="15" t="s">
        <x:v>969</x:v>
      </x:c>
      <x:c r="C4" s="16" t="s">
        <x:v>970</x:v>
      </x:c>
      <x:c r="D4" s="16" t="s">
        <x:v>971</x:v>
      </x:c>
      <x:c r="E4" s="16" t="s">
        <x:v>972</x:v>
      </x:c>
      <x:c r="F4" s="16" t="s">
        <x:v>973</x:v>
      </x:c>
      <x:c r="G4" s="16" t="s">
        <x:v>605</x:v>
      </x:c>
      <x:c r="H4" s="33" t="s">
        <x:v>309</x:v>
      </x:c>
      <x:c r="I4" s="33"/>
      <x:c r="J4" s="16" t="s">
        <x:v>974</x:v>
      </x:c>
      <x:c r="K4" s="16"/>
      <x:c r="L4" s="16"/>
      <x:c r="M4" s="16"/>
      <x:c r="N4" s="16"/>
      <x:c r="O4" s="16" t="s">
        <x:v>975</x:v>
      </x:c>
      <x:c r="P4" s="34" t="s">
        <x:v>976</x:v>
      </x:c>
      <x:c r="Q4" s="34" t="s">
        <x:v>977</x:v>
      </x:c>
      <x:c r="R4" s="16" t="s">
        <x:v>978</x:v>
      </x:c>
      <x:c r="S4" s="5" t="s">
        <x:v>312</x:v>
      </x:c>
      <x:c r="T4" s="5" t="s">
        <x:v>312</x:v>
      </x:c>
      <x:c r="U4" s="5" t="s">
        <x:v>979</x:v>
      </x:c>
      <x:c r="V4" s="5" t="s">
        <x:v>337</x:v>
      </x:c>
      <x:c r="W4" s="5" t="s">
        <x:v>338</x:v>
      </x:c>
      <x:c r="X4" s="5" t="s">
        <x:v>339</x:v>
      </x:c>
      <x:c r="Y4" s="5" t="s">
        <x:v>980</x:v>
      </x:c>
      <x:c r="Z4" s="5" t="s">
        <x:v>981</x:v>
      </x:c>
    </x:row>
    <x:row r="5" ht="160.5" hidden="0" customHeight="1">
      <x:c r="A5" s="35" t="s">
        <x:v>968</x:v>
      </x:c>
      <x:c r="B5" s="36" t="s">
        <x:v>982</x:v>
      </x:c>
      <x:c r="C5" s="35" t="s">
        <x:v>983</x:v>
      </x:c>
      <x:c r="D5" s="35" t="s">
        <x:v>984</x:v>
      </x:c>
      <x:c r="E5" s="35" t="s">
        <x:v>985</x:v>
      </x:c>
      <x:c r="F5" s="35" t="s">
        <x:v>986</x:v>
      </x:c>
      <x:c r="G5" s="35" t="s">
        <x:v>605</x:v>
      </x:c>
      <x:c r="H5" s="37" t="s">
        <x:v>309</x:v>
      </x:c>
      <x:c r="I5" s="37"/>
      <x:c r="J5" s="35" t="s">
        <x:v>987</x:v>
      </x:c>
      <x:c r="K5" s="35"/>
      <x:c r="L5" s="35"/>
      <x:c r="M5" s="35" t="s">
        <x:v>988</x:v>
      </x:c>
      <x:c r="N5" s="16"/>
      <x:c r="O5" s="16"/>
      <x:c r="P5" s="34" t="s">
        <x:v>989</x:v>
      </x:c>
      <x:c r="Q5" s="34" t="s">
        <x:v>990</x:v>
      </x:c>
      <x:c r="R5" s="16" t="s">
        <x:v>991</x:v>
      </x:c>
      <x:c r="S5" s="5" t="s">
        <x:v>312</x:v>
      </x:c>
      <x:c r="T5" s="5" t="s">
        <x:v>312</x:v>
      </x:c>
      <x:c r="U5" s="5" t="s">
        <x:v>992</x:v>
      </x:c>
      <x:c r="V5" s="5" t="s">
        <x:v>314</x:v>
      </x:c>
      <x:c r="W5" s="5" t="s">
        <x:v>315</x:v>
      </x:c>
      <x:c r="X5" s="5" t="s">
        <x:v>316</x:v>
      </x:c>
      <x:c r="Y5" s="5" t="s">
        <x:v>317</x:v>
      </x:c>
      <x:c r="Z5" s="5" t="s">
        <x:v>993</x:v>
      </x:c>
    </x:row>
    <x:row r="6" ht="160.5" hidden="0" customHeight="1">
      <x:c r="A6" s="16" t="s">
        <x:v>968</x:v>
      </x:c>
      <x:c r="B6" s="15" t="s">
        <x:v>994</x:v>
      </x:c>
      <x:c r="C6" s="16" t="s">
        <x:v>995</x:v>
      </x:c>
      <x:c r="D6" s="16" t="s">
        <x:v>996</x:v>
      </x:c>
      <x:c r="E6" s="16" t="s">
        <x:v>331</x:v>
      </x:c>
      <x:c r="F6" s="16" t="s">
        <x:v>997</x:v>
      </x:c>
      <x:c r="G6" s="16" t="s">
        <x:v>605</x:v>
      </x:c>
      <x:c r="H6" s="33" t="s">
        <x:v>309</x:v>
      </x:c>
      <x:c r="I6" s="33"/>
      <x:c r="J6" s="16" t="s">
        <x:v>998</x:v>
      </x:c>
      <x:c r="K6" s="16"/>
      <x:c r="L6" s="16"/>
      <x:c r="M6" s="16"/>
      <x:c r="N6" s="16"/>
      <x:c r="O6" s="16"/>
      <x:c r="P6" s="34" t="s">
        <x:v>999</x:v>
      </x:c>
      <x:c r="Q6" s="34" t="s">
        <x:v>1000</x:v>
      </x:c>
      <x:c r="R6" s="16" t="s">
        <x:v>1001</x:v>
      </x:c>
      <x:c r="S6" s="5" t="s">
        <x:v>312</x:v>
      </x:c>
      <x:c r="T6" s="5" t="s">
        <x:v>312</x:v>
      </x:c>
      <x:c r="U6" s="5" t="s">
        <x:v>1002</x:v>
      </x:c>
      <x:c r="V6" s="5" t="s">
        <x:v>337</x:v>
      </x:c>
      <x:c r="W6" s="5" t="s">
        <x:v>338</x:v>
      </x:c>
      <x:c r="X6" s="5" t="s">
        <x:v>339</x:v>
      </x:c>
      <x:c r="Y6" s="5" t="s">
        <x:v>340</x:v>
      </x:c>
      <x:c r="Z6" s="5" t="s">
        <x:v>1003</x:v>
      </x:c>
    </x:row>
    <x:row r="7" ht="160.5" hidden="0" customHeight="1">
      <x:c r="A7" s="35" t="s">
        <x:v>968</x:v>
      </x:c>
      <x:c r="B7" s="36" t="s">
        <x:v>1004</x:v>
      </x:c>
      <x:c r="C7" s="35" t="s">
        <x:v>1005</x:v>
      </x:c>
      <x:c r="D7" s="35" t="s">
        <x:v>1006</x:v>
      </x:c>
      <x:c r="E7" s="35" t="s">
        <x:v>408</x:v>
      </x:c>
      <x:c r="F7" s="35" t="s">
        <x:v>1007</x:v>
      </x:c>
      <x:c r="G7" s="35" t="s">
        <x:v>605</x:v>
      </x:c>
      <x:c r="H7" s="37" t="s">
        <x:v>309</x:v>
      </x:c>
      <x:c r="I7" s="37"/>
      <x:c r="J7" s="35" t="s">
        <x:v>1008</x:v>
      </x:c>
      <x:c r="K7" s="35"/>
      <x:c r="L7" s="35"/>
      <x:c r="M7" s="35"/>
      <x:c r="N7" s="16"/>
      <x:c r="O7" s="16"/>
      <x:c r="P7" s="34" t="s">
        <x:v>1009</x:v>
      </x:c>
      <x:c r="Q7" s="34" t="s">
        <x:v>1010</x:v>
      </x:c>
      <x:c r="R7" s="16" t="s">
        <x:v>1001</x:v>
      </x:c>
      <x:c r="S7" s="5" t="s">
        <x:v>312</x:v>
      </x:c>
      <x:c r="T7" s="5" t="s">
        <x:v>312</x:v>
      </x:c>
      <x:c r="U7" s="5" t="s">
        <x:v>1011</x:v>
      </x:c>
      <x:c r="V7" s="5" t="s">
        <x:v>337</x:v>
      </x:c>
      <x:c r="W7" s="5" t="s">
        <x:v>338</x:v>
      </x:c>
      <x:c r="X7" s="5" t="s">
        <x:v>339</x:v>
      </x:c>
      <x:c r="Y7" s="5" t="s">
        <x:v>340</x:v>
      </x:c>
      <x:c r="Z7" s="5" t="s">
        <x:v>1003</x:v>
      </x:c>
    </x:row>
    <x:row r="8" ht="173.25" hidden="0" customHeight="1">
      <x:c r="A8" s="16" t="s">
        <x:v>968</x:v>
      </x:c>
      <x:c r="B8" s="15" t="s">
        <x:v>1012</x:v>
      </x:c>
      <x:c r="C8" s="16" t="s">
        <x:v>1013</x:v>
      </x:c>
      <x:c r="D8" s="16" t="s">
        <x:v>971</x:v>
      </x:c>
      <x:c r="E8" s="16" t="s">
        <x:v>1014</x:v>
      </x:c>
      <x:c r="F8" s="16" t="s">
        <x:v>1015</x:v>
      </x:c>
      <x:c r="G8" s="16" t="s">
        <x:v>605</x:v>
      </x:c>
      <x:c r="H8" s="33" t="s">
        <x:v>309</x:v>
      </x:c>
      <x:c r="I8" s="33"/>
      <x:c r="J8" s="16" t="s">
        <x:v>1016</x:v>
      </x:c>
      <x:c r="K8" s="16"/>
      <x:c r="L8" s="16"/>
      <x:c r="M8" s="16"/>
      <x:c r="N8" s="16" t="s">
        <x:v>398</x:v>
      </x:c>
      <x:c r="O8" s="16" t="s">
        <x:v>1017</x:v>
      </x:c>
      <x:c r="P8" s="34" t="s">
        <x:v>1018</x:v>
      </x:c>
      <x:c r="Q8" s="34" t="s">
        <x:v>1019</x:v>
      </x:c>
      <x:c r="R8" s="16" t="s">
        <x:v>991</x:v>
      </x:c>
      <x:c r="S8" s="5" t="s">
        <x:v>312</x:v>
      </x:c>
      <x:c r="T8" s="5" t="s">
        <x:v>312</x:v>
      </x:c>
      <x:c r="U8" s="5" t="s">
        <x:v>1020</x:v>
      </x:c>
      <x:c r="V8" s="5" t="s">
        <x:v>660</x:v>
      </x:c>
      <x:c r="W8" s="5" t="s">
        <x:v>661</x:v>
      </x:c>
      <x:c r="X8" s="5" t="s">
        <x:v>662</x:v>
      </x:c>
      <x:c r="Y8" s="5" t="s">
        <x:v>663</x:v>
      </x:c>
      <x:c r="Z8" s="5" t="s">
        <x:v>1021</x:v>
      </x:c>
    </x:row>
    <x:row r="9" ht="148.5" hidden="0" customHeight="1">
      <x:c r="A9" s="35" t="s">
        <x:v>1022</x:v>
      </x:c>
      <x:c r="B9" s="36" t="s">
        <x:v>1023</x:v>
      </x:c>
      <x:c r="C9" s="35" t="s">
        <x:v>1024</x:v>
      </x:c>
      <x:c r="D9" s="35" t="s">
        <x:v>996</x:v>
      </x:c>
      <x:c r="E9" s="35" t="s">
        <x:v>355</x:v>
      </x:c>
      <x:c r="F9" s="35" t="s">
        <x:v>1025</x:v>
      </x:c>
      <x:c r="G9" s="35" t="s">
        <x:v>127</x:v>
      </x:c>
      <x:c r="H9" s="37" t="s">
        <x:v>309</x:v>
      </x:c>
      <x:c r="I9" s="37"/>
      <x:c r="J9" s="35" t="s">
        <x:v>1026</x:v>
      </x:c>
      <x:c r="K9" s="35"/>
      <x:c r="L9" s="35"/>
      <x:c r="M9" s="35"/>
      <x:c r="N9" s="16" t="s">
        <x:v>359</x:v>
      </x:c>
      <x:c r="O9" s="16"/>
      <x:c r="P9" s="34" t="s">
        <x:v>1027</x:v>
      </x:c>
      <x:c r="Q9" s="34" t="s">
        <x:v>1028</x:v>
      </x:c>
      <x:c r="R9" s="16" t="s">
        <x:v>1029</x:v>
      </x:c>
      <x:c r="S9" s="5" t="s">
        <x:v>312</x:v>
      </x:c>
      <x:c r="T9" s="5" t="s">
        <x:v>312</x:v>
      </x:c>
      <x:c r="U9" s="5" t="s">
        <x:v>1030</x:v>
      </x:c>
      <x:c r="V9" s="5" t="s">
        <x:v>629</x:v>
      </x:c>
      <x:c r="W9" s="5" t="s">
        <x:v>630</x:v>
      </x:c>
      <x:c r="X9" s="5" t="s">
        <x:v>631</x:v>
      </x:c>
      <x:c r="Y9" s="5" t="s">
        <x:v>632</x:v>
      </x:c>
      <x:c r="Z9" s="5" t="s">
        <x:v>1031</x:v>
      </x:c>
    </x:row>
    <x:row r="10" ht="173.25" hidden="0" customHeight="1">
      <x:c r="A10" s="16" t="s">
        <x:v>1022</x:v>
      </x:c>
      <x:c r="B10" s="15" t="s">
        <x:v>1032</x:v>
      </x:c>
      <x:c r="C10" s="16" t="s">
        <x:v>1033</x:v>
      </x:c>
      <x:c r="D10" s="16" t="s">
        <x:v>996</x:v>
      </x:c>
      <x:c r="E10" s="16" t="s">
        <x:v>1034</x:v>
      </x:c>
      <x:c r="F10" s="16" t="s">
        <x:v>624</x:v>
      </x:c>
      <x:c r="G10" s="16" t="s">
        <x:v>127</x:v>
      </x:c>
      <x:c r="H10" s="33" t="s">
        <x:v>309</x:v>
      </x:c>
      <x:c r="I10" s="33"/>
      <x:c r="J10" s="16" t="s">
        <x:v>1035</x:v>
      </x:c>
      <x:c r="K10" s="16"/>
      <x:c r="L10" s="16"/>
      <x:c r="M10" s="16"/>
      <x:c r="N10" s="16" t="s">
        <x:v>359</x:v>
      </x:c>
      <x:c r="O10" s="16"/>
      <x:c r="P10" s="34" t="s">
        <x:v>1036</x:v>
      </x:c>
      <x:c r="Q10" s="34" t="s">
        <x:v>1037</x:v>
      </x:c>
      <x:c r="R10" s="16" t="s">
        <x:v>1029</x:v>
      </x:c>
      <x:c r="S10" s="5" t="s">
        <x:v>312</x:v>
      </x:c>
      <x:c r="T10" s="5" t="s">
        <x:v>312</x:v>
      </x:c>
      <x:c r="U10" s="5" t="s">
        <x:v>1038</x:v>
      </x:c>
      <x:c r="V10" s="5" t="s">
        <x:v>629</x:v>
      </x:c>
      <x:c r="W10" s="5" t="s">
        <x:v>630</x:v>
      </x:c>
      <x:c r="X10" s="5" t="s">
        <x:v>631</x:v>
      </x:c>
      <x:c r="Y10" s="5" t="s">
        <x:v>632</x:v>
      </x:c>
      <x:c r="Z10" s="5" t="s">
        <x:v>1031</x:v>
      </x:c>
    </x:row>
    <x:row r="11" ht="160.5" hidden="0" customHeight="1">
      <x:c r="A11" s="35" t="s">
        <x:v>1022</x:v>
      </x:c>
      <x:c r="B11" s="36" t="s">
        <x:v>1039</x:v>
      </x:c>
      <x:c r="C11" s="35" t="s">
        <x:v>1040</x:v>
      </x:c>
      <x:c r="D11" s="35" t="s">
        <x:v>996</x:v>
      </x:c>
      <x:c r="E11" s="35" t="s">
        <x:v>1041</x:v>
      </x:c>
      <x:c r="F11" s="35" t="s">
        <x:v>1042</x:v>
      </x:c>
      <x:c r="G11" s="35" t="s">
        <x:v>127</x:v>
      </x:c>
      <x:c r="H11" s="37" t="s">
        <x:v>309</x:v>
      </x:c>
      <x:c r="I11" s="37"/>
      <x:c r="J11" s="35" t="s">
        <x:v>1043</x:v>
      </x:c>
      <x:c r="K11" s="35"/>
      <x:c r="L11" s="35"/>
      <x:c r="M11" s="35"/>
      <x:c r="N11" s="16" t="s">
        <x:v>1044</x:v>
      </x:c>
      <x:c r="O11" s="16" t="s">
        <x:v>1045</x:v>
      </x:c>
      <x:c r="P11" s="34" t="s">
        <x:v>1046</x:v>
      </x:c>
      <x:c r="Q11" s="34" t="s">
        <x:v>1047</x:v>
      </x:c>
      <x:c r="R11" s="16" t="s">
        <x:v>1048</x:v>
      </x:c>
      <x:c r="S11" s="5" t="s">
        <x:v>312</x:v>
      </x:c>
      <x:c r="T11" s="5" t="s">
        <x:v>312</x:v>
      </x:c>
      <x:c r="U11" s="5" t="s">
        <x:v>1049</x:v>
      </x:c>
      <x:c r="V11" s="5" t="s">
        <x:v>363</x:v>
      </x:c>
      <x:c r="W11" s="5" t="s">
        <x:v>364</x:v>
      </x:c>
      <x:c r="X11" s="5" t="s">
        <x:v>365</x:v>
      </x:c>
      <x:c r="Y11" s="5" t="s">
        <x:v>366</x:v>
      </x:c>
      <x:c r="Z11" s="5" t="s">
        <x:v>1050</x:v>
      </x:c>
    </x:row>
    <x:row r="12" ht="160.5" hidden="0" customHeight="1">
      <x:c r="A12" s="16" t="s">
        <x:v>1022</x:v>
      </x:c>
      <x:c r="B12" s="15" t="s">
        <x:v>1051</x:v>
      </x:c>
      <x:c r="C12" s="16" t="s">
        <x:v>1052</x:v>
      </x:c>
      <x:c r="D12" s="16" t="s">
        <x:v>1006</x:v>
      </x:c>
      <x:c r="E12" s="16" t="s">
        <x:v>1053</x:v>
      </x:c>
      <x:c r="F12" s="16" t="s">
        <x:v>1054</x:v>
      </x:c>
      <x:c r="G12" s="16" t="s">
        <x:v>127</x:v>
      </x:c>
      <x:c r="H12" s="33" t="s">
        <x:v>309</x:v>
      </x:c>
      <x:c r="I12" s="33"/>
      <x:c r="J12" s="16" t="s">
        <x:v>1055</x:v>
      </x:c>
      <x:c r="K12" s="16"/>
      <x:c r="L12" s="16"/>
      <x:c r="M12" s="16"/>
      <x:c r="N12" s="16" t="s">
        <x:v>417</x:v>
      </x:c>
      <x:c r="O12" s="16"/>
      <x:c r="P12" s="34" t="s">
        <x:v>1056</x:v>
      </x:c>
      <x:c r="Q12" s="34" t="s">
        <x:v>1057</x:v>
      </x:c>
      <x:c r="R12" s="16" t="s">
        <x:v>1048</x:v>
      </x:c>
      <x:c r="S12" s="5" t="s">
        <x:v>312</x:v>
      </x:c>
      <x:c r="T12" s="5" t="s">
        <x:v>312</x:v>
      </x:c>
      <x:c r="U12" s="5" t="s">
        <x:v>1058</x:v>
      </x:c>
      <x:c r="V12" s="5" t="s">
        <x:v>363</x:v>
      </x:c>
      <x:c r="W12" s="5" t="s">
        <x:v>364</x:v>
      </x:c>
      <x:c r="X12" s="5" t="s">
        <x:v>365</x:v>
      </x:c>
      <x:c r="Y12" s="5" t="s">
        <x:v>366</x:v>
      </x:c>
      <x:c r="Z12" s="5" t="s">
        <x:v>1050</x:v>
      </x:c>
    </x:row>
    <x:row r="13" ht="160.5" hidden="0" customHeight="1">
      <x:c r="A13" s="35" t="s">
        <x:v>1059</x:v>
      </x:c>
      <x:c r="B13" s="36" t="s">
        <x:v>1060</x:v>
      </x:c>
      <x:c r="C13" s="35" t="s">
        <x:v>1061</x:v>
      </x:c>
      <x:c r="D13" s="35" t="s">
        <x:v>996</x:v>
      </x:c>
      <x:c r="E13" s="35" t="s">
        <x:v>1062</x:v>
      </x:c>
      <x:c r="F13" s="35" t="s">
        <x:v>1063</x:v>
      </x:c>
      <x:c r="G13" s="35" t="s">
        <x:v>173</x:v>
      </x:c>
      <x:c r="H13" s="37" t="s">
        <x:v>309</x:v>
      </x:c>
      <x:c r="I13" s="37"/>
      <x:c r="J13" s="35" t="s">
        <x:v>1064</x:v>
      </x:c>
      <x:c r="K13" s="35"/>
      <x:c r="L13" s="35"/>
      <x:c r="M13" s="35"/>
      <x:c r="N13" s="16" t="s">
        <x:v>445</x:v>
      </x:c>
      <x:c r="O13" s="16"/>
      <x:c r="P13" s="34" t="s">
        <x:v>1065</x:v>
      </x:c>
      <x:c r="Q13" s="34" t="s">
        <x:v>1066</x:v>
      </x:c>
      <x:c r="R13" s="16" t="s">
        <x:v>1067</x:v>
      </x:c>
      <x:c r="S13" s="5" t="s">
        <x:v>312</x:v>
      </x:c>
      <x:c r="T13" s="5" t="s">
        <x:v>312</x:v>
      </x:c>
      <x:c r="U13" s="5" t="s">
        <x:v>1068</x:v>
      </x:c>
      <x:c r="V13" s="5" t="s">
        <x:v>374</x:v>
      </x:c>
      <x:c r="W13" s="5" t="s">
        <x:v>375</x:v>
      </x:c>
      <x:c r="X13" s="5" t="s">
        <x:v>376</x:v>
      </x:c>
      <x:c r="Y13" s="5" t="s">
        <x:v>377</x:v>
      </x:c>
      <x:c r="Z13" s="5" t="s">
        <x:v>1069</x:v>
      </x:c>
    </x:row>
    <x:row r="14" ht="173.25" hidden="0" customHeight="1">
      <x:c r="A14" s="16" t="s">
        <x:v>1059</x:v>
      </x:c>
      <x:c r="B14" s="15" t="s">
        <x:v>1070</x:v>
      </x:c>
      <x:c r="C14" s="16" t="s">
        <x:v>1071</x:v>
      </x:c>
      <x:c r="D14" s="16" t="s">
        <x:v>984</x:v>
      </x:c>
      <x:c r="E14" s="16" t="s">
        <x:v>1072</x:v>
      </x:c>
      <x:c r="F14" s="16" t="s">
        <x:v>847</x:v>
      </x:c>
      <x:c r="G14" s="16" t="s">
        <x:v>173</x:v>
      </x:c>
      <x:c r="H14" s="33" t="s">
        <x:v>309</x:v>
      </x:c>
      <x:c r="I14" s="33"/>
      <x:c r="J14" s="16" t="s">
        <x:v>1073</x:v>
      </x:c>
      <x:c r="K14" s="16"/>
      <x:c r="L14" s="16"/>
      <x:c r="M14" s="35" t="s">
        <x:v>988</x:v>
      </x:c>
      <x:c r="N14" s="16" t="s">
        <x:v>417</x:v>
      </x:c>
      <x:c r="O14" s="16"/>
      <x:c r="P14" s="34" t="s">
        <x:v>1074</x:v>
      </x:c>
      <x:c r="Q14" s="34" t="s">
        <x:v>1075</x:v>
      </x:c>
      <x:c r="R14" s="16" t="s">
        <x:v>1067</x:v>
      </x:c>
      <x:c r="S14" s="5" t="s">
        <x:v>312</x:v>
      </x:c>
      <x:c r="T14" s="5" t="s">
        <x:v>312</x:v>
      </x:c>
      <x:c r="U14" s="5" t="s">
        <x:v>1076</x:v>
      </x:c>
      <x:c r="V14" s="5" t="s">
        <x:v>460</x:v>
      </x:c>
      <x:c r="W14" s="5" t="s">
        <x:v>461</x:v>
      </x:c>
      <x:c r="X14" s="5" t="s">
        <x:v>462</x:v>
      </x:c>
      <x:c r="Y14" s="5" t="s">
        <x:v>463</x:v>
      </x:c>
      <x:c r="Z14" s="5" t="s">
        <x:v>1077</x:v>
      </x:c>
    </x:row>
    <x:row r="15" ht="173.25" hidden="0" customHeight="1">
      <x:c r="A15" s="35" t="s">
        <x:v>1059</x:v>
      </x:c>
      <x:c r="B15" s="36" t="s">
        <x:v>1078</x:v>
      </x:c>
      <x:c r="C15" s="35" t="s">
        <x:v>1079</x:v>
      </x:c>
      <x:c r="D15" s="35" t="s">
        <x:v>984</x:v>
      </x:c>
      <x:c r="E15" s="35" t="s">
        <x:v>1080</x:v>
      </x:c>
      <x:c r="F15" s="35" t="s">
        <x:v>1081</x:v>
      </x:c>
      <x:c r="G15" s="35" t="s">
        <x:v>173</x:v>
      </x:c>
      <x:c r="H15" s="37" t="s">
        <x:v>309</x:v>
      </x:c>
      <x:c r="I15" s="37"/>
      <x:c r="J15" s="35" t="s">
        <x:v>1082</x:v>
      </x:c>
      <x:c r="K15" s="35"/>
      <x:c r="L15" s="35"/>
      <x:c r="M15" s="35" t="s">
        <x:v>988</x:v>
      </x:c>
      <x:c r="N15" s="16" t="s">
        <x:v>445</x:v>
      </x:c>
      <x:c r="O15" s="16" t="s">
        <x:v>1083</x:v>
      </x:c>
      <x:c r="P15" s="34" t="s">
        <x:v>1084</x:v>
      </x:c>
      <x:c r="Q15" s="34" t="s">
        <x:v>1085</x:v>
      </x:c>
      <x:c r="R15" s="16" t="s">
        <x:v>1067</x:v>
      </x:c>
      <x:c r="S15" s="5" t="s">
        <x:v>312</x:v>
      </x:c>
      <x:c r="T15" s="5" t="s">
        <x:v>312</x:v>
      </x:c>
      <x:c r="U15" s="5" t="s">
        <x:v>1086</x:v>
      </x:c>
      <x:c r="V15" s="5" t="s">
        <x:v>1087</x:v>
      </x:c>
      <x:c r="W15" s="5" t="s">
        <x:v>1088</x:v>
      </x:c>
      <x:c r="X15" s="5" t="s">
        <x:v>1089</x:v>
      </x:c>
      <x:c r="Y15" s="5" t="s">
        <x:v>1090</x:v>
      </x:c>
      <x:c r="Z15" s="5" t="s">
        <x:v>1091</x:v>
      </x:c>
    </x:row>
    <x:row r="16" ht="186" hidden="0" customHeight="1">
      <x:c r="A16" s="16" t="s">
        <x:v>1059</x:v>
      </x:c>
      <x:c r="B16" s="15" t="s">
        <x:v>1092</x:v>
      </x:c>
      <x:c r="C16" s="16" t="s">
        <x:v>1093</x:v>
      </x:c>
      <x:c r="D16" s="16" t="s">
        <x:v>1006</x:v>
      </x:c>
      <x:c r="E16" s="16" t="s">
        <x:v>1094</x:v>
      </x:c>
      <x:c r="F16" s="16" t="s">
        <x:v>1095</x:v>
      </x:c>
      <x:c r="G16" s="16" t="s">
        <x:v>173</x:v>
      </x:c>
      <x:c r="H16" s="33" t="s">
        <x:v>309</x:v>
      </x:c>
      <x:c r="I16" s="33"/>
      <x:c r="J16" s="16" t="s">
        <x:v>1096</x:v>
      </x:c>
      <x:c r="K16" s="16"/>
      <x:c r="L16" s="16"/>
      <x:c r="M16" s="16"/>
      <x:c r="N16" s="16" t="s">
        <x:v>468</x:v>
      </x:c>
      <x:c r="O16" s="16" t="s">
        <x:v>1097</x:v>
      </x:c>
      <x:c r="P16" s="34" t="s">
        <x:v>1098</x:v>
      </x:c>
      <x:c r="Q16" s="34" t="s">
        <x:v>1099</x:v>
      </x:c>
      <x:c r="R16" s="16" t="s">
        <x:v>1067</x:v>
      </x:c>
      <x:c r="S16" s="5" t="s">
        <x:v>312</x:v>
      </x:c>
      <x:c r="T16" s="5" t="s">
        <x:v>312</x:v>
      </x:c>
      <x:c r="U16" s="5" t="s">
        <x:v>1100</x:v>
      </x:c>
      <x:c r="V16" s="5" t="s">
        <x:v>1101</x:v>
      </x:c>
      <x:c r="W16" s="5" t="s">
        <x:v>1102</x:v>
      </x:c>
      <x:c r="X16" s="5" t="s">
        <x:v>1103</x:v>
      </x:c>
      <x:c r="Y16" s="5" t="s">
        <x:v>1104</x:v>
      </x:c>
      <x:c r="Z16" s="5" t="s">
        <x:v>1105</x:v>
      </x:c>
    </x:row>
    <x:row r="17" ht="160.5" hidden="0" customHeight="1">
      <x:c r="A17" s="35" t="s">
        <x:v>1059</x:v>
      </x:c>
      <x:c r="B17" s="36" t="s">
        <x:v>1106</x:v>
      </x:c>
      <x:c r="C17" s="35" t="s">
        <x:v>1107</x:v>
      </x:c>
      <x:c r="D17" s="35" t="s">
        <x:v>996</x:v>
      </x:c>
      <x:c r="E17" s="35" t="s">
        <x:v>1108</x:v>
      </x:c>
      <x:c r="F17" s="35" t="s">
        <x:v>1109</x:v>
      </x:c>
      <x:c r="G17" s="35" t="s">
        <x:v>173</x:v>
      </x:c>
      <x:c r="H17" s="37" t="s">
        <x:v>309</x:v>
      </x:c>
      <x:c r="I17" s="37"/>
      <x:c r="J17" s="35" t="s">
        <x:v>1110</x:v>
      </x:c>
      <x:c r="K17" s="35"/>
      <x:c r="L17" s="35"/>
      <x:c r="M17" s="35" t="s">
        <x:v>988</x:v>
      </x:c>
      <x:c r="N17" s="16" t="s">
        <x:v>445</x:v>
      </x:c>
      <x:c r="O17" s="16" t="s">
        <x:v>1111</x:v>
      </x:c>
      <x:c r="P17" s="34" t="s">
        <x:v>1112</x:v>
      </x:c>
      <x:c r="Q17" s="34" t="s">
        <x:v>1113</x:v>
      </x:c>
      <x:c r="R17" s="16" t="s">
        <x:v>1067</x:v>
      </x:c>
      <x:c r="S17" s="5" t="s">
        <x:v>312</x:v>
      </x:c>
      <x:c r="T17" s="5" t="s">
        <x:v>312</x:v>
      </x:c>
      <x:c r="U17" s="5" t="s">
        <x:v>1114</x:v>
      </x:c>
      <x:c r="V17" s="5" t="s">
        <x:v>363</x:v>
      </x:c>
      <x:c r="W17" s="5" t="s">
        <x:v>364</x:v>
      </x:c>
      <x:c r="X17" s="5" t="s">
        <x:v>365</x:v>
      </x:c>
      <x:c r="Y17" s="5" t="s">
        <x:v>366</x:v>
      </x:c>
      <x:c r="Z17" s="5" t="s">
        <x:v>1050</x:v>
      </x:c>
    </x:row>
    <x:row r="18" ht="300" hidden="0" customHeight="1">
      <x:c r="A18" s="16" t="s">
        <x:v>1059</x:v>
      </x:c>
      <x:c r="B18" s="15" t="s">
        <x:v>1115</x:v>
      </x:c>
      <x:c r="C18" s="16" t="s">
        <x:v>1116</x:v>
      </x:c>
      <x:c r="D18" s="16" t="s">
        <x:v>996</x:v>
      </x:c>
      <x:c r="E18" s="16" t="s">
        <x:v>453</x:v>
      </x:c>
      <x:c r="F18" s="16" t="s">
        <x:v>1117</x:v>
      </x:c>
      <x:c r="G18" s="16" t="s">
        <x:v>173</x:v>
      </x:c>
      <x:c r="H18" s="33" t="s">
        <x:v>309</x:v>
      </x:c>
      <x:c r="I18" s="33"/>
      <x:c r="J18" s="16" t="s">
        <x:v>1118</x:v>
      </x:c>
      <x:c r="K18" s="16"/>
      <x:c r="L18" s="16"/>
      <x:c r="M18" s="16"/>
      <x:c r="N18" s="16" t="s">
        <x:v>828</x:v>
      </x:c>
      <x:c r="O18" s="16" t="s">
        <x:v>1119</x:v>
      </x:c>
      <x:c r="P18" s="34" t="s">
        <x:v>1120</x:v>
      </x:c>
      <x:c r="Q18" s="34" t="s">
        <x:v>1121</x:v>
      </x:c>
      <x:c r="R18" s="16" t="s">
        <x:v>1122</x:v>
      </x:c>
      <x:c r="S18" s="5" t="s">
        <x:v>312</x:v>
      </x:c>
      <x:c r="T18" s="5" t="s">
        <x:v>312</x:v>
      </x:c>
      <x:c r="U18" s="5" t="s">
        <x:v>1123</x:v>
      </x:c>
      <x:c r="V18" s="5" t="s">
        <x:v>460</x:v>
      </x:c>
      <x:c r="W18" s="5" t="s">
        <x:v>461</x:v>
      </x:c>
      <x:c r="X18" s="5" t="s">
        <x:v>462</x:v>
      </x:c>
      <x:c r="Y18" s="5" t="s">
        <x:v>1124</x:v>
      </x:c>
      <x:c r="Z18" s="5" t="s">
        <x:v>1125</x:v>
      </x:c>
    </x:row>
    <x:row r="19" ht="186" hidden="0" customHeight="1">
      <x:c r="A19" s="35" t="s">
        <x:v>1059</x:v>
      </x:c>
      <x:c r="B19" s="36" t="s">
        <x:v>1126</x:v>
      </x:c>
      <x:c r="C19" s="35" t="s">
        <x:v>1127</x:v>
      </x:c>
      <x:c r="D19" s="35" t="s">
        <x:v>1006</x:v>
      </x:c>
      <x:c r="E19" s="35" t="s">
        <x:v>1128</x:v>
      </x:c>
      <x:c r="F19" s="35" t="s">
        <x:v>831</x:v>
      </x:c>
      <x:c r="G19" s="35" t="s">
        <x:v>173</x:v>
      </x:c>
      <x:c r="H19" s="37" t="s">
        <x:v>309</x:v>
      </x:c>
      <x:c r="I19" s="37"/>
      <x:c r="J19" s="35" t="s">
        <x:v>1129</x:v>
      </x:c>
      <x:c r="K19" s="35"/>
      <x:c r="L19" s="35"/>
      <x:c r="M19" s="35"/>
      <x:c r="N19" s="16" t="s">
        <x:v>445</x:v>
      </x:c>
      <x:c r="O19" s="16" t="s">
        <x:v>1130</x:v>
      </x:c>
      <x:c r="P19" s="34" t="s">
        <x:v>1131</x:v>
      </x:c>
      <x:c r="Q19" s="34" t="s">
        <x:v>1132</x:v>
      </x:c>
      <x:c r="R19" s="16" t="s">
        <x:v>1133</x:v>
      </x:c>
      <x:c r="S19" s="5" t="s">
        <x:v>312</x:v>
      </x:c>
      <x:c r="T19" s="5" t="s">
        <x:v>312</x:v>
      </x:c>
      <x:c r="U19" s="5" t="s">
        <x:v>1134</x:v>
      </x:c>
      <x:c r="V19" s="5" t="s">
        <x:v>385</x:v>
      </x:c>
      <x:c r="W19" s="5" t="s">
        <x:v>386</x:v>
      </x:c>
      <x:c r="X19" s="5" t="s">
        <x:v>387</x:v>
      </x:c>
      <x:c r="Y19" s="5" t="s">
        <x:v>1135</x:v>
      </x:c>
      <x:c r="Z19" s="5" t="s">
        <x:v>1136</x:v>
      </x:c>
    </x:row>
    <x:row r="20" ht="160.5" hidden="0" customHeight="1">
      <x:c r="A20" s="16" t="s">
        <x:v>1059</x:v>
      </x:c>
      <x:c r="B20" s="15" t="s">
        <x:v>1137</x:v>
      </x:c>
      <x:c r="C20" s="16" t="s">
        <x:v>1138</x:v>
      </x:c>
      <x:c r="D20" s="16" t="s">
        <x:v>1139</x:v>
      </x:c>
      <x:c r="E20" s="16" t="s">
        <x:v>1140</x:v>
      </x:c>
      <x:c r="F20" s="16" t="s">
        <x:v>1141</x:v>
      </x:c>
      <x:c r="G20" s="16" t="s">
        <x:v>173</x:v>
      </x:c>
      <x:c r="H20" s="33" t="s">
        <x:v>309</x:v>
      </x:c>
      <x:c r="I20" s="33"/>
      <x:c r="J20" s="16" t="s">
        <x:v>1142</x:v>
      </x:c>
      <x:c r="K20" s="16"/>
      <x:c r="L20" s="16"/>
      <x:c r="M20" s="16"/>
      <x:c r="N20" s="16" t="s">
        <x:v>819</x:v>
      </x:c>
      <x:c r="O20" s="16" t="s">
        <x:v>1143</x:v>
      </x:c>
      <x:c r="P20" s="34" t="s">
        <x:v>1144</x:v>
      </x:c>
      <x:c r="Q20" s="34" t="s">
        <x:v>1145</x:v>
      </x:c>
      <x:c r="R20" s="16" t="s">
        <x:v>1067</x:v>
      </x:c>
      <x:c r="S20" s="5" t="s">
        <x:v>312</x:v>
      </x:c>
      <x:c r="T20" s="5" t="s">
        <x:v>312</x:v>
      </x:c>
      <x:c r="U20" s="5" t="s">
        <x:v>1146</x:v>
      </x:c>
      <x:c r="V20" s="5" t="s">
        <x:v>494</x:v>
      </x:c>
      <x:c r="W20" s="5" t="s">
        <x:v>495</x:v>
      </x:c>
      <x:c r="X20" s="5" t="s">
        <x:v>496</x:v>
      </x:c>
      <x:c r="Y20" s="5" t="s">
        <x:v>497</x:v>
      </x:c>
      <x:c r="Z20" s="5" t="s">
        <x:v>1147</x:v>
      </x:c>
    </x:row>
    <x:row r="21" ht="186" hidden="0" customHeight="1">
      <x:c r="A21" s="35" t="s">
        <x:v>1059</x:v>
      </x:c>
      <x:c r="B21" s="36" t="s">
        <x:v>1148</x:v>
      </x:c>
      <x:c r="C21" s="35" t="s">
        <x:v>1149</x:v>
      </x:c>
      <x:c r="D21" s="35" t="s">
        <x:v>996</x:v>
      </x:c>
      <x:c r="E21" s="35" t="s">
        <x:v>465</x:v>
      </x:c>
      <x:c r="F21" s="35" t="s">
        <x:v>1150</x:v>
      </x:c>
      <x:c r="G21" s="35" t="s">
        <x:v>173</x:v>
      </x:c>
      <x:c r="H21" s="37" t="s">
        <x:v>309</x:v>
      </x:c>
      <x:c r="I21" s="37"/>
      <x:c r="J21" s="35" t="s">
        <x:v>1151</x:v>
      </x:c>
      <x:c r="K21" s="35"/>
      <x:c r="L21" s="35"/>
      <x:c r="M21" s="35"/>
      <x:c r="N21" s="16" t="s">
        <x:v>468</x:v>
      </x:c>
      <x:c r="O21" s="16"/>
      <x:c r="P21" s="34" t="s">
        <x:v>1152</x:v>
      </x:c>
      <x:c r="Q21" s="34" t="s">
        <x:v>1153</x:v>
      </x:c>
      <x:c r="R21" s="16" t="s">
        <x:v>1067</x:v>
      </x:c>
      <x:c r="S21" s="5" t="s">
        <x:v>312</x:v>
      </x:c>
      <x:c r="T21" s="5" t="s">
        <x:v>312</x:v>
      </x:c>
      <x:c r="U21" s="5" t="s">
        <x:v>1154</x:v>
      </x:c>
      <x:c r="V21" s="5" t="s">
        <x:v>402</x:v>
      </x:c>
      <x:c r="W21" s="5" t="s">
        <x:v>403</x:v>
      </x:c>
      <x:c r="X21" s="5" t="s">
        <x:v>404</x:v>
      </x:c>
      <x:c r="Y21" s="5" t="s">
        <x:v>1155</x:v>
      </x:c>
      <x:c r="Z21" s="5" t="s">
        <x:v>981</x:v>
      </x:c>
    </x:row>
    <x:row r="22" ht="160.5" hidden="0" customHeight="1">
      <x:c r="A22" s="16" t="s">
        <x:v>1059</x:v>
      </x:c>
      <x:c r="B22" s="15" t="s">
        <x:v>1156</x:v>
      </x:c>
      <x:c r="C22" s="16" t="s">
        <x:v>1157</x:v>
      </x:c>
      <x:c r="D22" s="16" t="s">
        <x:v>1158</x:v>
      </x:c>
      <x:c r="E22" s="16" t="s">
        <x:v>471</x:v>
      </x:c>
      <x:c r="F22" s="16" t="s">
        <x:v>1159</x:v>
      </x:c>
      <x:c r="G22" s="16" t="s">
        <x:v>173</x:v>
      </x:c>
      <x:c r="H22" s="33" t="s">
        <x:v>309</x:v>
      </x:c>
      <x:c r="I22" s="33"/>
      <x:c r="J22" s="16" t="s">
        <x:v>1160</x:v>
      </x:c>
      <x:c r="K22" s="16"/>
      <x:c r="L22" s="16"/>
      <x:c r="M22" s="16"/>
      <x:c r="N22" s="16" t="s">
        <x:v>1161</x:v>
      </x:c>
      <x:c r="O22" s="16" t="s">
        <x:v>1162</x:v>
      </x:c>
      <x:c r="P22" s="34" t="s">
        <x:v>1163</x:v>
      </x:c>
      <x:c r="Q22" s="34" t="s">
        <x:v>1164</x:v>
      </x:c>
      <x:c r="R22" s="16" t="s">
        <x:v>1048</x:v>
      </x:c>
      <x:c r="S22" s="5" t="s">
        <x:v>312</x:v>
      </x:c>
      <x:c r="T22" s="5" t="s">
        <x:v>312</x:v>
      </x:c>
      <x:c r="U22" s="5" t="s">
        <x:v>1165</x:v>
      </x:c>
      <x:c r="V22" s="5" t="s">
        <x:v>478</x:v>
      </x:c>
      <x:c r="W22" s="5" t="s">
        <x:v>479</x:v>
      </x:c>
      <x:c r="X22" s="5" t="s">
        <x:v>480</x:v>
      </x:c>
      <x:c r="Y22" s="5" t="s">
        <x:v>481</x:v>
      </x:c>
      <x:c r="Z22" s="5" t="s">
        <x:v>1166</x:v>
      </x:c>
    </x:row>
    <x:row r="23" ht="186" hidden="0" customHeight="1">
      <x:c r="A23" s="35" t="s">
        <x:v>1059</x:v>
      </x:c>
      <x:c r="B23" s="36" t="s">
        <x:v>1167</x:v>
      </x:c>
      <x:c r="C23" s="35" t="s">
        <x:v>1168</x:v>
      </x:c>
      <x:c r="D23" s="35" t="s">
        <x:v>1006</x:v>
      </x:c>
      <x:c r="E23" s="35" t="s">
        <x:v>1169</x:v>
      </x:c>
      <x:c r="F23" s="35" t="s">
        <x:v>1170</x:v>
      </x:c>
      <x:c r="G23" s="35" t="s">
        <x:v>173</x:v>
      </x:c>
      <x:c r="H23" s="37" t="s">
        <x:v>309</x:v>
      </x:c>
      <x:c r="I23" s="37"/>
      <x:c r="J23" s="35" t="s">
        <x:v>1171</x:v>
      </x:c>
      <x:c r="K23" s="35"/>
      <x:c r="L23" s="35"/>
      <x:c r="M23" s="35" t="s">
        <x:v>1172</x:v>
      </x:c>
      <x:c r="N23" s="16" t="s">
        <x:v>345</x:v>
      </x:c>
      <x:c r="O23" s="16" t="s">
        <x:v>1173</x:v>
      </x:c>
      <x:c r="P23" s="34" t="s">
        <x:v>1174</x:v>
      </x:c>
      <x:c r="Q23" s="34" t="s">
        <x:v>1175</x:v>
      </x:c>
      <x:c r="R23" s="16" t="s">
        <x:v>1176</x:v>
      </x:c>
      <x:c r="S23" s="5" t="s">
        <x:v>312</x:v>
      </x:c>
      <x:c r="T23" s="5" t="s">
        <x:v>312</x:v>
      </x:c>
      <x:c r="U23" s="5" t="s">
        <x:v>1177</x:v>
      </x:c>
      <x:c r="V23" s="5" t="s">
        <x:v>349</x:v>
      </x:c>
      <x:c r="W23" s="5" t="s">
        <x:v>350</x:v>
      </x:c>
      <x:c r="X23" s="5" t="s">
        <x:v>351</x:v>
      </x:c>
      <x:c r="Y23" s="5" t="s">
        <x:v>1178</x:v>
      </x:c>
      <x:c r="Z23" s="5" t="s">
        <x:v>1136</x:v>
      </x:c>
    </x:row>
    <x:row r="24" ht="222.75" hidden="0" customHeight="1">
      <x:c r="A24" s="16" t="s">
        <x:v>1059</x:v>
      </x:c>
      <x:c r="B24" s="15" t="s">
        <x:v>1179</x:v>
      </x:c>
      <x:c r="C24" s="16" t="s">
        <x:v>1180</x:v>
      </x:c>
      <x:c r="D24" s="16" t="s">
        <x:v>1006</x:v>
      </x:c>
      <x:c r="E24" s="16" t="s">
        <x:v>1181</x:v>
      </x:c>
      <x:c r="F24" s="16" t="s">
        <x:v>1182</x:v>
      </x:c>
      <x:c r="G24" s="16" t="s">
        <x:v>173</x:v>
      </x:c>
      <x:c r="H24" s="33" t="s">
        <x:v>309</x:v>
      </x:c>
      <x:c r="I24" s="33"/>
      <x:c r="J24" s="16" t="s">
        <x:v>1183</x:v>
      </x:c>
      <x:c r="K24" s="16"/>
      <x:c r="L24" s="16"/>
      <x:c r="M24" s="16"/>
      <x:c r="N24" s="16" t="s">
        <x:v>327</x:v>
      </x:c>
      <x:c r="O24" s="16"/>
      <x:c r="P24" s="34" t="s">
        <x:v>1184</x:v>
      </x:c>
      <x:c r="Q24" s="34" t="s">
        <x:v>1185</x:v>
      </x:c>
      <x:c r="R24" s="16" t="s">
        <x:v>1186</x:v>
      </x:c>
      <x:c r="S24" s="5" t="s">
        <x:v>312</x:v>
      </x:c>
      <x:c r="T24" s="5" t="s">
        <x:v>312</x:v>
      </x:c>
      <x:c r="U24" s="5" t="s">
        <x:v>1187</x:v>
      </x:c>
      <x:c r="V24" s="5" t="s">
        <x:v>402</x:v>
      </x:c>
      <x:c r="W24" s="5" t="s">
        <x:v>403</x:v>
      </x:c>
      <x:c r="X24" s="5" t="s">
        <x:v>404</x:v>
      </x:c>
      <x:c r="Y24" s="5" t="s">
        <x:v>1188</x:v>
      </x:c>
      <x:c r="Z24" s="5" t="s">
        <x:v>981</x:v>
      </x:c>
    </x:row>
    <x:row r="25" ht="186" hidden="0" customHeight="1">
      <x:c r="A25" s="35" t="s">
        <x:v>1059</x:v>
      </x:c>
      <x:c r="B25" s="36" t="s">
        <x:v>1189</x:v>
      </x:c>
      <x:c r="C25" s="35" t="s">
        <x:v>1190</x:v>
      </x:c>
      <x:c r="D25" s="35" t="s">
        <x:v>1006</x:v>
      </x:c>
      <x:c r="E25" s="35" t="s">
        <x:v>471</x:v>
      </x:c>
      <x:c r="F25" s="35" t="s">
        <x:v>1191</x:v>
      </x:c>
      <x:c r="G25" s="35" t="s">
        <x:v>173</x:v>
      </x:c>
      <x:c r="H25" s="37" t="s">
        <x:v>309</x:v>
      </x:c>
      <x:c r="I25" s="37"/>
      <x:c r="J25" s="35" t="s">
        <x:v>1192</x:v>
      </x:c>
      <x:c r="K25" s="35"/>
      <x:c r="L25" s="35"/>
      <x:c r="M25" s="35"/>
      <x:c r="N25" s="16" t="s">
        <x:v>636</x:v>
      </x:c>
      <x:c r="O25" s="16"/>
      <x:c r="P25" s="34" t="s">
        <x:v>1193</x:v>
      </x:c>
      <x:c r="Q25" s="34" t="s">
        <x:v>1194</x:v>
      </x:c>
      <x:c r="R25" s="16" t="s">
        <x:v>1195</x:v>
      </x:c>
      <x:c r="S25" s="5" t="s">
        <x:v>312</x:v>
      </x:c>
      <x:c r="T25" s="5" t="s">
        <x:v>312</x:v>
      </x:c>
      <x:c r="U25" s="5" t="s">
        <x:v>1196</x:v>
      </x:c>
      <x:c r="V25" s="5" t="s">
        <x:v>402</x:v>
      </x:c>
      <x:c r="W25" s="5" t="s">
        <x:v>403</x:v>
      </x:c>
      <x:c r="X25" s="5" t="s">
        <x:v>404</x:v>
      </x:c>
      <x:c r="Y25" s="5" t="s">
        <x:v>405</x:v>
      </x:c>
      <x:c r="Z25" s="5" t="s">
        <x:v>1197</x:v>
      </x:c>
    </x:row>
    <x:row r="26" ht="186" hidden="0" customHeight="1">
      <x:c r="A26" s="16" t="s">
        <x:v>1059</x:v>
      </x:c>
      <x:c r="B26" s="15" t="s">
        <x:v>1198</x:v>
      </x:c>
      <x:c r="C26" s="16" t="s">
        <x:v>1199</x:v>
      </x:c>
      <x:c r="D26" s="16" t="s">
        <x:v>996</x:v>
      </x:c>
      <x:c r="E26" s="16" t="s">
        <x:v>1200</x:v>
      </x:c>
      <x:c r="F26" s="16" t="s">
        <x:v>1201</x:v>
      </x:c>
      <x:c r="G26" s="16" t="s">
        <x:v>173</x:v>
      </x:c>
      <x:c r="H26" s="33" t="s">
        <x:v>309</x:v>
      </x:c>
      <x:c r="I26" s="33"/>
      <x:c r="J26" s="16" t="s">
        <x:v>1202</x:v>
      </x:c>
      <x:c r="K26" s="16"/>
      <x:c r="L26" s="16"/>
      <x:c r="M26" s="16"/>
      <x:c r="N26" s="16" t="s">
        <x:v>575</x:v>
      </x:c>
      <x:c r="O26" s="16" t="s">
        <x:v>1203</x:v>
      </x:c>
      <x:c r="P26" s="34" t="s">
        <x:v>1204</x:v>
      </x:c>
      <x:c r="Q26" s="34" t="s">
        <x:v>1205</x:v>
      </x:c>
      <x:c r="R26" s="16" t="s">
        <x:v>1206</x:v>
      </x:c>
      <x:c r="S26" s="5" t="s">
        <x:v>312</x:v>
      </x:c>
      <x:c r="T26" s="5" t="s">
        <x:v>312</x:v>
      </x:c>
      <x:c r="U26" s="5" t="s">
        <x:v>1207</x:v>
      </x:c>
      <x:c r="V26" s="5" t="s">
        <x:v>579</x:v>
      </x:c>
      <x:c r="W26" s="5" t="s">
        <x:v>580</x:v>
      </x:c>
      <x:c r="X26" s="5" t="s">
        <x:v>581</x:v>
      </x:c>
      <x:c r="Y26" s="5" t="s">
        <x:v>582</x:v>
      </x:c>
      <x:c r="Z26" s="5" t="s">
        <x:v>1208</x:v>
      </x:c>
    </x:row>
    <x:row r="27" ht="173.25" hidden="0" customHeight="1">
      <x:c r="A27" s="35" t="s">
        <x:v>1059</x:v>
      </x:c>
      <x:c r="B27" s="36" t="s">
        <x:v>1209</x:v>
      </x:c>
      <x:c r="C27" s="35" t="s">
        <x:v>1210</x:v>
      </x:c>
      <x:c r="D27" s="35" t="s">
        <x:v>1139</x:v>
      </x:c>
      <x:c r="E27" s="35" t="s">
        <x:v>1211</x:v>
      </x:c>
      <x:c r="F27" s="35" t="s">
        <x:v>1212</x:v>
      </x:c>
      <x:c r="G27" s="35" t="s">
        <x:v>173</x:v>
      </x:c>
      <x:c r="H27" s="37" t="s">
        <x:v>309</x:v>
      </x:c>
      <x:c r="I27" s="37"/>
      <x:c r="J27" s="35" t="s">
        <x:v>1213</x:v>
      </x:c>
      <x:c r="K27" s="35"/>
      <x:c r="L27" s="35"/>
      <x:c r="M27" s="35"/>
      <x:c r="N27" s="16" t="s">
        <x:v>898</x:v>
      </x:c>
      <x:c r="O27" s="16" t="s">
        <x:v>1214</x:v>
      </x:c>
      <x:c r="P27" s="34" t="s">
        <x:v>1215</x:v>
      </x:c>
      <x:c r="Q27" s="34" t="s">
        <x:v>1216</x:v>
      </x:c>
      <x:c r="R27" s="16" t="s">
        <x:v>1206</x:v>
      </x:c>
      <x:c r="S27" s="5" t="s">
        <x:v>312</x:v>
      </x:c>
      <x:c r="T27" s="5" t="s">
        <x:v>312</x:v>
      </x:c>
      <x:c r="U27" s="5" t="s">
        <x:v>1217</x:v>
      </x:c>
      <x:c r="V27" s="5" t="s">
        <x:v>385</x:v>
      </x:c>
      <x:c r="W27" s="5" t="s">
        <x:v>386</x:v>
      </x:c>
      <x:c r="X27" s="5" t="s">
        <x:v>387</x:v>
      </x:c>
      <x:c r="Y27" s="5" t="s">
        <x:v>388</x:v>
      </x:c>
      <x:c r="Z27" s="5" t="s">
        <x:v>1218</x:v>
      </x:c>
    </x:row>
    <x:row r="28" ht="160.5" hidden="0" customHeight="1">
      <x:c r="A28" s="16" t="s">
        <x:v>1219</x:v>
      </x:c>
      <x:c r="B28" s="15" t="s">
        <x:v>1220</x:v>
      </x:c>
      <x:c r="C28" s="16" t="s">
        <x:v>1221</x:v>
      </x:c>
      <x:c r="D28" s="16" t="s">
        <x:v>971</x:v>
      </x:c>
      <x:c r="E28" s="16" t="s">
        <x:v>395</x:v>
      </x:c>
      <x:c r="F28" s="16" t="s">
        <x:v>645</x:v>
      </x:c>
      <x:c r="G28" s="16" t="s">
        <x:v>1222</x:v>
      </x:c>
      <x:c r="H28" s="33" t="s">
        <x:v>309</x:v>
      </x:c>
      <x:c r="I28" s="33"/>
      <x:c r="J28" s="16" t="s">
        <x:v>1223</x:v>
      </x:c>
      <x:c r="K28" s="16"/>
      <x:c r="L28" s="16"/>
      <x:c r="M28" s="16"/>
      <x:c r="N28" s="16"/>
      <x:c r="O28" s="16"/>
      <x:c r="P28" s="34" t="s">
        <x:v>1224</x:v>
      </x:c>
      <x:c r="Q28" s="34" t="s">
        <x:v>1225</x:v>
      </x:c>
      <x:c r="R28" s="16" t="s">
        <x:v>1226</x:v>
      </x:c>
      <x:c r="S28" s="5" t="s">
        <x:v>312</x:v>
      </x:c>
      <x:c r="T28" s="5" t="s">
        <x:v>312</x:v>
      </x:c>
      <x:c r="U28" s="5" t="s">
        <x:v>1227</x:v>
      </x:c>
      <x:c r="V28" s="5" t="s">
        <x:v>660</x:v>
      </x:c>
      <x:c r="W28" s="5" t="s">
        <x:v>661</x:v>
      </x:c>
      <x:c r="X28" s="5" t="s">
        <x:v>662</x:v>
      </x:c>
      <x:c r="Y28" s="5" t="s">
        <x:v>663</x:v>
      </x:c>
      <x:c r="Z28" s="5" t="s">
        <x:v>1021</x:v>
      </x:c>
    </x:row>
    <x:row r="29" ht="160.5" hidden="0" customHeight="1">
      <x:c r="A29" s="35" t="s">
        <x:v>1219</x:v>
      </x:c>
      <x:c r="B29" s="36" t="s">
        <x:v>1228</x:v>
      </x:c>
      <x:c r="C29" s="35" t="s">
        <x:v>1229</x:v>
      </x:c>
      <x:c r="D29" s="35" t="s">
        <x:v>1006</x:v>
      </x:c>
      <x:c r="E29" s="35" t="s">
        <x:v>1230</x:v>
      </x:c>
      <x:c r="F29" s="35" t="s">
        <x:v>726</x:v>
      </x:c>
      <x:c r="G29" s="35" t="s">
        <x:v>1222</x:v>
      </x:c>
      <x:c r="H29" s="37" t="s">
        <x:v>309</x:v>
      </x:c>
      <x:c r="I29" s="37"/>
      <x:c r="J29" s="35" t="s">
        <x:v>1231</x:v>
      </x:c>
      <x:c r="K29" s="35"/>
      <x:c r="L29" s="35"/>
      <x:c r="M29" s="35"/>
      <x:c r="N29" s="16"/>
      <x:c r="O29" s="16"/>
      <x:c r="P29" s="34" t="s">
        <x:v>1232</x:v>
      </x:c>
      <x:c r="Q29" s="34" t="s">
        <x:v>1233</x:v>
      </x:c>
      <x:c r="R29" s="16" t="s">
        <x:v>1234</x:v>
      </x:c>
      <x:c r="S29" s="5" t="s">
        <x:v>312</x:v>
      </x:c>
      <x:c r="T29" s="5" t="s">
        <x:v>312</x:v>
      </x:c>
      <x:c r="U29" s="5" t="s">
        <x:v>1235</x:v>
      </x:c>
      <x:c r="V29" s="5" t="s">
        <x:v>385</x:v>
      </x:c>
      <x:c r="W29" s="5" t="s">
        <x:v>386</x:v>
      </x:c>
      <x:c r="X29" s="5" t="s">
        <x:v>387</x:v>
      </x:c>
      <x:c r="Y29" s="5" t="s">
        <x:v>388</x:v>
      </x:c>
      <x:c r="Z29" s="5" t="s">
        <x:v>1218</x:v>
      </x:c>
    </x:row>
    <x:row r="30" ht="173.25" hidden="0" customHeight="1">
      <x:c r="A30" s="16" t="s">
        <x:v>1236</x:v>
      </x:c>
      <x:c r="B30" s="15" t="s">
        <x:v>1237</x:v>
      </x:c>
      <x:c r="C30" s="16" t="s">
        <x:v>1238</x:v>
      </x:c>
      <x:c r="D30" s="16" t="s">
        <x:v>1239</x:v>
      </x:c>
      <x:c r="E30" s="16" t="s">
        <x:v>1072</x:v>
      </x:c>
      <x:c r="F30" s="16" t="s">
        <x:v>847</x:v>
      </x:c>
      <x:c r="G30" s="16" t="s">
        <x:v>1240</x:v>
      </x:c>
      <x:c r="H30" s="33" t="s">
        <x:v>1241</x:v>
      </x:c>
      <x:c r="I30" s="33"/>
      <x:c r="J30" s="16" t="s">
        <x:v>1242</x:v>
      </x:c>
      <x:c r="K30" s="16"/>
      <x:c r="L30" s="16" t="s">
        <x:v>1243</x:v>
      </x:c>
      <x:c r="M30" s="16" t="s">
        <x:v>1244</x:v>
      </x:c>
      <x:c r="N30" s="16" t="s">
        <x:v>1245</x:v>
      </x:c>
      <x:c r="O30" s="16"/>
      <x:c r="P30" s="34" t="s">
        <x:v>1246</x:v>
      </x:c>
      <x:c r="Q30" s="34" t="s">
        <x:v>1247</x:v>
      </x:c>
      <x:c r="R30" s="16" t="s">
        <x:v>1067</x:v>
      </x:c>
      <x:c r="S30" s="5" t="s">
        <x:v>312</x:v>
      </x:c>
      <x:c r="T30" s="5" t="s">
        <x:v>312</x:v>
      </x:c>
      <x:c r="U30" s="5" t="s">
        <x:v>1248</x:v>
      </x:c>
      <x:c r="V30" s="5" t="s">
        <x:v>460</x:v>
      </x:c>
      <x:c r="W30" s="5" t="s">
        <x:v>461</x:v>
      </x:c>
      <x:c r="X30" s="5" t="s">
        <x:v>462</x:v>
      </x:c>
      <x:c r="Y30" s="5" t="s">
        <x:v>1249</x:v>
      </x:c>
      <x:c r="Z30" s="5" t="s">
        <x:v>1250</x:v>
      </x:c>
    </x:row>
    <x:row r="31" ht="160.5" hidden="0" customHeight="1">
      <x:c r="A31" s="35" t="s">
        <x:v>1236</x:v>
      </x:c>
      <x:c r="B31" s="36" t="s">
        <x:v>1251</x:v>
      </x:c>
      <x:c r="C31" s="35" t="s">
        <x:v>1252</x:v>
      </x:c>
      <x:c r="D31" s="35" t="s">
        <x:v>1239</x:v>
      </x:c>
      <x:c r="E31" s="35" t="s">
        <x:v>1253</x:v>
      </x:c>
      <x:c r="F31" s="35" t="s">
        <x:v>1254</x:v>
      </x:c>
      <x:c r="G31" s="35" t="s">
        <x:v>1240</x:v>
      </x:c>
      <x:c r="H31" s="37" t="s">
        <x:v>1241</x:v>
      </x:c>
      <x:c r="I31" s="37"/>
      <x:c r="J31" s="35" t="s">
        <x:v>1255</x:v>
      </x:c>
      <x:c r="K31" s="35"/>
      <x:c r="L31" s="35" t="s">
        <x:v>1256</x:v>
      </x:c>
      <x:c r="M31" s="35" t="s">
        <x:v>1257</x:v>
      </x:c>
      <x:c r="N31" s="16" t="s">
        <x:v>1258</x:v>
      </x:c>
      <x:c r="O31" s="16"/>
      <x:c r="P31" s="34" t="s">
        <x:v>1259</x:v>
      </x:c>
      <x:c r="Q31" s="34" t="s">
        <x:v>1260</x:v>
      </x:c>
      <x:c r="R31" s="16" t="s">
        <x:v>1067</x:v>
      </x:c>
      <x:c r="S31" s="5" t="s">
        <x:v>312</x:v>
      </x:c>
      <x:c r="T31" s="5" t="s">
        <x:v>312</x:v>
      </x:c>
      <x:c r="U31" s="5" t="s">
        <x:v>1261</x:v>
      </x:c>
      <x:c r="V31" s="5" t="s">
        <x:v>314</x:v>
      </x:c>
      <x:c r="W31" s="5" t="s">
        <x:v>315</x:v>
      </x:c>
      <x:c r="X31" s="5" t="s">
        <x:v>316</x:v>
      </x:c>
      <x:c r="Y31" s="5" t="s">
        <x:v>317</x:v>
      </x:c>
      <x:c r="Z31" s="5" t="s">
        <x:v>993</x:v>
      </x:c>
    </x:row>
    <x:row r="32" ht="198" hidden="0" customHeight="1">
      <x:c r="A32" s="16" t="s">
        <x:v>1236</x:v>
      </x:c>
      <x:c r="B32" s="15" t="s">
        <x:v>1262</x:v>
      </x:c>
      <x:c r="C32" s="16" t="s">
        <x:v>1263</x:v>
      </x:c>
      <x:c r="D32" s="16" t="s">
        <x:v>1239</x:v>
      </x:c>
      <x:c r="E32" s="16" t="s">
        <x:v>1264</x:v>
      </x:c>
      <x:c r="F32" s="16" t="s">
        <x:v>1265</x:v>
      </x:c>
      <x:c r="G32" s="16" t="s">
        <x:v>1240</x:v>
      </x:c>
      <x:c r="H32" s="33" t="s">
        <x:v>1241</x:v>
      </x:c>
      <x:c r="I32" s="33"/>
      <x:c r="J32" s="16" t="s">
        <x:v>1266</x:v>
      </x:c>
      <x:c r="K32" s="16"/>
      <x:c r="L32" s="16" t="s">
        <x:v>1267</x:v>
      </x:c>
      <x:c r="M32" s="16" t="s">
        <x:v>1268</x:v>
      </x:c>
      <x:c r="N32" s="16" t="s">
        <x:v>1258</x:v>
      </x:c>
      <x:c r="O32" s="16" t="s">
        <x:v>1269</x:v>
      </x:c>
      <x:c r="P32" s="34" t="s">
        <x:v>1270</x:v>
      </x:c>
      <x:c r="Q32" s="34" t="s">
        <x:v>1271</x:v>
      </x:c>
      <x:c r="R32" s="16" t="s">
        <x:v>1067</x:v>
      </x:c>
      <x:c r="S32" s="5" t="s">
        <x:v>312</x:v>
      </x:c>
      <x:c r="T32" s="5" t="s">
        <x:v>312</x:v>
      </x:c>
      <x:c r="U32" s="5" t="s">
        <x:v>1272</x:v>
      </x:c>
      <x:c r="V32" s="5" t="s">
        <x:v>337</x:v>
      </x:c>
      <x:c r="W32" s="5" t="s">
        <x:v>338</x:v>
      </x:c>
      <x:c r="X32" s="5" t="s">
        <x:v>339</x:v>
      </x:c>
      <x:c r="Y32" s="5" t="s">
        <x:v>1273</x:v>
      </x:c>
      <x:c r="Z32" s="5" t="s">
        <x:v>1250</x:v>
      </x:c>
    </x:row>
    <x:row r="33" ht="186" hidden="0" customHeight="1">
      <x:c r="A33" s="35" t="s">
        <x:v>1236</x:v>
      </x:c>
      <x:c r="B33" s="36" t="s">
        <x:v>1274</x:v>
      </x:c>
      <x:c r="C33" s="35" t="s">
        <x:v>1275</x:v>
      </x:c>
      <x:c r="D33" s="35" t="s">
        <x:v>1239</x:v>
      </x:c>
      <x:c r="E33" s="35" t="s">
        <x:v>1276</x:v>
      </x:c>
      <x:c r="F33" s="35" t="s">
        <x:v>1277</x:v>
      </x:c>
      <x:c r="G33" s="35" t="s">
        <x:v>1240</x:v>
      </x:c>
      <x:c r="H33" s="37" t="s">
        <x:v>1241</x:v>
      </x:c>
      <x:c r="I33" s="37"/>
      <x:c r="J33" s="35" t="s">
        <x:v>1278</x:v>
      </x:c>
      <x:c r="K33" s="35"/>
      <x:c r="L33" s="35" t="s">
        <x:v>1267</x:v>
      </x:c>
      <x:c r="M33" s="35" t="s">
        <x:v>1279</x:v>
      </x:c>
      <x:c r="N33" s="16" t="s">
        <x:v>1245</x:v>
      </x:c>
      <x:c r="O33" s="16" t="s">
        <x:v>1280</x:v>
      </x:c>
      <x:c r="P33" s="34" t="s">
        <x:v>1281</x:v>
      </x:c>
      <x:c r="Q33" s="34" t="s">
        <x:v>1282</x:v>
      </x:c>
      <x:c r="R33" s="16" t="s">
        <x:v>1067</x:v>
      </x:c>
      <x:c r="S33" s="5" t="s">
        <x:v>312</x:v>
      </x:c>
      <x:c r="T33" s="5" t="s">
        <x:v>312</x:v>
      </x:c>
      <x:c r="U33" s="5" t="s">
        <x:v>1283</x:v>
      </x:c>
      <x:c r="V33" s="5" t="s">
        <x:v>1087</x:v>
      </x:c>
      <x:c r="W33" s="5" t="s">
        <x:v>1088</x:v>
      </x:c>
      <x:c r="X33" s="5" t="s">
        <x:v>1089</x:v>
      </x:c>
      <x:c r="Y33" s="5" t="s">
        <x:v>1090</x:v>
      </x:c>
      <x:c r="Z33" s="5" t="s">
        <x:v>1091</x:v>
      </x:c>
    </x:row>
  </x:sheetData>
  <x:mergeCells>
    <x:mergeCell ref="A1:F1"/>
    <x:mergeCell ref="P2:Q2"/>
  </x:mergeCells>
  <x:dataValidations count="4">
    <x:dataValidation type="list" errorStyle="stop" operator="between" allowBlank="1" showDropDown="0" showInputMessage="0" showErrorMessage="0" sqref="S4:S33">
      <x:formula1>"Not tested,Adequate,Partially adequate,Inadequate,Not applicable"</x:formula1>
      <x:formula2>0</x:formula2>
    </x:dataValidation>
    <x:dataValidation type="list" errorStyle="stop" operator="between" allowBlank="1" showDropDown="0" showInputMessage="0" showErrorMessage="0" sqref="T4:T33">
      <x:formula1>"Not tested,Effective,Partially effective,Ineffective,Not applicable"</x:formula1>
      <x:formula2>0</x:formula2>
    </x:dataValidation>
    <x:dataValidation type="list" errorStyle="stop" operator="between" allowBlank="1" showDropDown="0" showInputMessage="0" showErrorMessage="0" sqref="H4:H33">
      <x:formula1>"Not started,In progress,Implemented,Operating effectively,Not applicable"</x:formula1>
      <x:formula2>0</x:formula2>
    </x:dataValidation>
    <x:dataValidation type="list" errorStyle="stop" operator="between" allowBlank="1" showDropDown="0" showInputMessage="0" showErrorMessage="0" sqref="I4:I33">
      <x:formula1>"1,2,3,4,5"</x:formula1>
      <x:formula2>0</x:formula2>
    </x:dataValidation>
  </x:dataValidation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ColWidth="8.6796875" defaultRowHeight="15"/>
  <x:cols>
    <x:col min="1" max="1" width="4" style="1" hidden="0" customWidth="1"/>
    <x:col min="2" max="2" width="28" style="1" hidden="0" customWidth="1"/>
    <x:col min="3" max="3" width="13" style="1" hidden="0" customWidth="1"/>
    <x:col min="4" max="5" width="40" style="1" hidden="0" customWidth="1"/>
    <x:col min="6" max="6" width="30" style="1" hidden="0" customWidth="1"/>
    <x:col min="7" max="7" width="20" style="1" hidden="0" customWidth="1"/>
    <x:col min="8" max="8" width="18" style="1" hidden="0" customWidth="1"/>
    <x:col min="9" max="10" width="12" style="1" hidden="0" customWidth="1"/>
    <x:col min="11" max="11" width="14" style="1" hidden="0" customWidth="1"/>
    <x:col min="12" max="12" width="12" style="1" hidden="0" customWidth="1"/>
  </x:cols>
  <x:sheetData>
    <x:row r="1" ht="15.75" hidden="0" customHeight="1">
      <x:c r="A1" s="13" t="s">
        <x:v>1284</x:v>
      </x:c>
      <x:c r="B1" s="13"/>
      <x:c r="C1" s="13"/>
      <x:c r="D1" s="13"/>
      <x:c r="E1" s="13"/>
      <x:c r="F1" s="13"/>
      <x:c r="G1" s="13"/>
      <x:c r="H1" s="13"/>
      <x:c r="I1" s="13"/>
      <x:c r="J1" s="13"/>
      <x:c r="K1" s="13"/>
    </x:row>
    <x:row r="3" ht="15" hidden="0" customHeight="1">
      <x:c r="A3" s="41" t="s">
        <x:v>1285</x:v>
      </x:c>
      <x:c r="B3" s="41" t="s">
        <x:v>1286</x:v>
      </x:c>
      <x:c r="C3" s="41" t="s">
        <x:v>1287</x:v>
      </x:c>
      <x:c r="D3" s="41" t="s">
        <x:v>1288</x:v>
      </x:c>
      <x:c r="E3" s="41" t="s">
        <x:v>1289</x:v>
      </x:c>
      <x:c r="F3" s="41" t="s">
        <x:v>1290</x:v>
      </x:c>
      <x:c r="G3" s="41" t="s">
        <x:v>286</x:v>
      </x:c>
      <x:c r="H3" s="41" t="s">
        <x:v>1291</x:v>
      </x:c>
      <x:c r="I3" s="41" t="s">
        <x:v>1292</x:v>
      </x:c>
      <x:c r="J3" s="41" t="s">
        <x:v>1293</x:v>
      </x:c>
      <x:c r="K3" s="41" t="s">
        <x:v>1294</x:v>
      </x:c>
      <x:c r="L3" s="41" t="s">
        <x:v>1295</x:v>
      </x:c>
    </x:row>
    <x:row r="4" ht="91.5" hidden="0" customHeight="1">
      <x:c r="A4" s="42" t="n">
        <x:v>1</x:v>
      </x:c>
      <x:c r="B4" s="15" t="s">
        <x:v>1296</x:v>
      </x:c>
      <x:c r="C4" s="33" t="s">
        <x:v>1297</x:v>
      </x:c>
      <x:c r="D4" s="16" t="s">
        <x:v>1298</x:v>
      </x:c>
      <x:c r="E4" s="16" t="s">
        <x:v>1299</x:v>
      </x:c>
      <x:c r="F4" s="16" t="s">
        <x:v>1300</x:v>
      </x:c>
      <x:c r="G4" s="16" t="s">
        <x:v>252</x:v>
      </x:c>
      <x:c r="H4" s="33" t="s">
        <x:v>248</x:v>
      </x:c>
      <x:c r="I4" s="33"/>
      <x:c r="J4" s="33" t="s">
        <x:v>1301</x:v>
      </x:c>
      <x:c r="K4" s="33"/>
      <x:c r="L4" s="33"/>
    </x:row>
    <x:row r="5" ht="91.5" hidden="0" customHeight="1">
      <x:c r="A5" s="43" t="n">
        <x:v>2</x:v>
      </x:c>
      <x:c r="B5" s="44" t="s">
        <x:v>1302</x:v>
      </x:c>
      <x:c r="C5" s="45" t="s">
        <x:v>1297</x:v>
      </x:c>
      <x:c r="D5" s="46" t="s">
        <x:v>1303</x:v>
      </x:c>
      <x:c r="E5" s="46" t="s">
        <x:v>1304</x:v>
      </x:c>
      <x:c r="F5" s="46" t="s">
        <x:v>1305</x:v>
      </x:c>
      <x:c r="G5" s="46" t="s">
        <x:v>252</x:v>
      </x:c>
      <x:c r="H5" s="45" t="s">
        <x:v>248</x:v>
      </x:c>
      <x:c r="I5" s="45"/>
      <x:c r="J5" s="45" t="s">
        <x:v>1301</x:v>
      </x:c>
      <x:c r="K5" s="45"/>
      <x:c r="L5" s="45"/>
    </x:row>
    <x:row r="6" ht="91.5" hidden="0" customHeight="1">
      <x:c r="A6" s="42" t="n">
        <x:v>3</x:v>
      </x:c>
      <x:c r="B6" s="15" t="s">
        <x:v>1306</x:v>
      </x:c>
      <x:c r="C6" s="33" t="s">
        <x:v>1297</x:v>
      </x:c>
      <x:c r="D6" s="16" t="s">
        <x:v>1307</x:v>
      </x:c>
      <x:c r="E6" s="16" t="s">
        <x:v>1308</x:v>
      </x:c>
      <x:c r="F6" s="16" t="s">
        <x:v>1309</x:v>
      </x:c>
      <x:c r="G6" s="16" t="s">
        <x:v>252</x:v>
      </x:c>
      <x:c r="H6" s="33" t="s">
        <x:v>248</x:v>
      </x:c>
      <x:c r="I6" s="33"/>
      <x:c r="J6" s="33" t="s">
        <x:v>1301</x:v>
      </x:c>
      <x:c r="K6" s="33"/>
      <x:c r="L6" s="33"/>
    </x:row>
    <x:row r="7" ht="91.5" hidden="0" customHeight="1">
      <x:c r="A7" s="43" t="n">
        <x:v>4</x:v>
      </x:c>
      <x:c r="B7" s="44" t="s">
        <x:v>1310</x:v>
      </x:c>
      <x:c r="C7" s="45" t="s">
        <x:v>1311</x:v>
      </x:c>
      <x:c r="D7" s="46" t="s">
        <x:v>1312</x:v>
      </x:c>
      <x:c r="E7" s="46" t="s">
        <x:v>1313</x:v>
      </x:c>
      <x:c r="F7" s="46" t="s">
        <x:v>1314</x:v>
      </x:c>
      <x:c r="G7" s="46" t="s">
        <x:v>1315</x:v>
      </x:c>
      <x:c r="H7" s="45" t="s">
        <x:v>23</x:v>
      </x:c>
      <x:c r="I7" s="45"/>
      <x:c r="J7" s="45" t="s">
        <x:v>1301</x:v>
      </x:c>
      <x:c r="K7" s="45"/>
      <x:c r="L7" s="45"/>
    </x:row>
    <x:row r="8" ht="91.5" hidden="0" customHeight="1">
      <x:c r="A8" s="42" t="n">
        <x:v>5</x:v>
      </x:c>
      <x:c r="B8" s="15" t="s">
        <x:v>1316</x:v>
      </x:c>
      <x:c r="C8" s="33" t="s">
        <x:v>1317</x:v>
      </x:c>
      <x:c r="D8" s="16" t="s">
        <x:v>1318</x:v>
      </x:c>
      <x:c r="E8" s="16" t="s">
        <x:v>1319</x:v>
      </x:c>
      <x:c r="F8" s="16" t="s">
        <x:v>1320</x:v>
      </x:c>
      <x:c r="G8" s="16" t="s">
        <x:v>1321</x:v>
      </x:c>
      <x:c r="H8" s="33" t="s">
        <x:v>1322</x:v>
      </x:c>
      <x:c r="I8" s="33"/>
      <x:c r="J8" s="33" t="s">
        <x:v>1301</x:v>
      </x:c>
      <x:c r="K8" s="33"/>
      <x:c r="L8" s="33"/>
    </x:row>
    <x:row r="9" ht="91.5" hidden="0" customHeight="1">
      <x:c r="A9" s="43" t="n">
        <x:v>6</x:v>
      </x:c>
      <x:c r="B9" s="44" t="s">
        <x:v>1323</x:v>
      </x:c>
      <x:c r="C9" s="45" t="s">
        <x:v>1311</x:v>
      </x:c>
      <x:c r="D9" s="46" t="s">
        <x:v>1324</x:v>
      </x:c>
      <x:c r="E9" s="46" t="s">
        <x:v>1325</x:v>
      </x:c>
      <x:c r="F9" s="46" t="s">
        <x:v>1326</x:v>
      </x:c>
      <x:c r="G9" s="46" t="s">
        <x:v>1315</x:v>
      </x:c>
      <x:c r="H9" s="45" t="s">
        <x:v>23</x:v>
      </x:c>
      <x:c r="I9" s="45"/>
      <x:c r="J9" s="45" t="s">
        <x:v>1301</x:v>
      </x:c>
      <x:c r="K9" s="45"/>
      <x:c r="L9" s="45"/>
    </x:row>
    <x:row r="10" ht="91.5" hidden="0" customHeight="1">
      <x:c r="A10" s="42" t="n">
        <x:v>7</x:v>
      </x:c>
      <x:c r="B10" s="15" t="s">
        <x:v>1327</x:v>
      </x:c>
      <x:c r="C10" s="33" t="s">
        <x:v>1311</x:v>
      </x:c>
      <x:c r="D10" s="16" t="s">
        <x:v>1328</x:v>
      </x:c>
      <x:c r="E10" s="16" t="s">
        <x:v>1329</x:v>
      </x:c>
      <x:c r="F10" s="16" t="s">
        <x:v>1330</x:v>
      </x:c>
      <x:c r="G10" s="16" t="s">
        <x:v>1315</x:v>
      </x:c>
      <x:c r="H10" s="33" t="s">
        <x:v>23</x:v>
      </x:c>
      <x:c r="I10" s="33"/>
      <x:c r="J10" s="33" t="s">
        <x:v>1301</x:v>
      </x:c>
      <x:c r="K10" s="33"/>
      <x:c r="L10" s="33"/>
    </x:row>
    <x:row r="11" ht="91.5" hidden="0" customHeight="1">
      <x:c r="A11" s="43" t="n">
        <x:v>8</x:v>
      </x:c>
      <x:c r="B11" s="44" t="s">
        <x:v>1331</x:v>
      </x:c>
      <x:c r="C11" s="45" t="s">
        <x:v>1317</x:v>
      </x:c>
      <x:c r="D11" s="46" t="s">
        <x:v>1332</x:v>
      </x:c>
      <x:c r="E11" s="46" t="s">
        <x:v>1333</x:v>
      </x:c>
      <x:c r="F11" s="46" t="s">
        <x:v>1334</x:v>
      </x:c>
      <x:c r="G11" s="46" t="s">
        <x:v>1321</x:v>
      </x:c>
      <x:c r="H11" s="45" t="s">
        <x:v>1322</x:v>
      </x:c>
      <x:c r="I11" s="45"/>
      <x:c r="J11" s="45" t="s">
        <x:v>1301</x:v>
      </x:c>
      <x:c r="K11" s="45"/>
      <x:c r="L11" s="45"/>
    </x:row>
    <x:row r="12" ht="91.5" hidden="0" customHeight="1">
      <x:c r="A12" s="42" t="n">
        <x:v>9</x:v>
      </x:c>
      <x:c r="B12" s="15" t="s">
        <x:v>1335</x:v>
      </x:c>
      <x:c r="C12" s="33" t="s">
        <x:v>1317</x:v>
      </x:c>
      <x:c r="D12" s="16" t="s">
        <x:v>1336</x:v>
      </x:c>
      <x:c r="E12" s="16" t="s">
        <x:v>1337</x:v>
      </x:c>
      <x:c r="F12" s="16" t="s">
        <x:v>1338</x:v>
      </x:c>
      <x:c r="G12" s="16" t="s">
        <x:v>1321</x:v>
      </x:c>
      <x:c r="H12" s="33" t="s">
        <x:v>1322</x:v>
      </x:c>
      <x:c r="I12" s="33"/>
      <x:c r="J12" s="33" t="s">
        <x:v>1301</x:v>
      </x:c>
      <x:c r="K12" s="33"/>
      <x:c r="L12" s="33"/>
    </x:row>
    <x:row r="13" ht="91.5" hidden="0" customHeight="1">
      <x:c r="A13" s="43" t="n">
        <x:v>10</x:v>
      </x:c>
      <x:c r="B13" s="44" t="s">
        <x:v>1339</x:v>
      </x:c>
      <x:c r="C13" s="45" t="s">
        <x:v>1311</x:v>
      </x:c>
      <x:c r="D13" s="46" t="s">
        <x:v>1340</x:v>
      </x:c>
      <x:c r="E13" s="46" t="s">
        <x:v>1341</x:v>
      </x:c>
      <x:c r="F13" s="46" t="s">
        <x:v>1342</x:v>
      </x:c>
      <x:c r="G13" s="46" t="s">
        <x:v>1315</x:v>
      </x:c>
      <x:c r="H13" s="45" t="s">
        <x:v>23</x:v>
      </x:c>
      <x:c r="I13" s="45"/>
      <x:c r="J13" s="45" t="s">
        <x:v>1301</x:v>
      </x:c>
      <x:c r="K13" s="45"/>
      <x:c r="L13" s="45"/>
    </x:row>
    <x:row r="14" ht="91.5" hidden="0" customHeight="1">
      <x:c r="A14" s="42" t="n">
        <x:v>11</x:v>
      </x:c>
      <x:c r="B14" s="15" t="s">
        <x:v>1343</x:v>
      </x:c>
      <x:c r="C14" s="33" t="s">
        <x:v>1344</x:v>
      </x:c>
      <x:c r="D14" s="16" t="s">
        <x:v>1345</x:v>
      </x:c>
      <x:c r="E14" s="16" t="s">
        <x:v>1346</x:v>
      </x:c>
      <x:c r="F14" s="16" t="s">
        <x:v>1347</x:v>
      </x:c>
      <x:c r="G14" s="16" t="s">
        <x:v>1348</x:v>
      </x:c>
      <x:c r="H14" s="33" t="s">
        <x:v>248</x:v>
      </x:c>
      <x:c r="I14" s="33"/>
      <x:c r="J14" s="33" t="s">
        <x:v>1301</x:v>
      </x:c>
      <x:c r="K14" s="33"/>
      <x:c r="L14" s="33"/>
    </x:row>
    <x:row r="15" ht="91.5" hidden="0" customHeight="1">
      <x:c r="A15" s="42" t="n">
        <x:v>12</x:v>
      </x:c>
      <x:c r="B15" s="15" t="s">
        <x:v>1349</x:v>
      </x:c>
      <x:c r="C15" s="33" t="s">
        <x:v>1344</x:v>
      </x:c>
      <x:c r="D15" s="16" t="s">
        <x:v>1350</x:v>
      </x:c>
      <x:c r="E15" s="16" t="s">
        <x:v>1351</x:v>
      </x:c>
      <x:c r="F15" s="16" t="s">
        <x:v>1352</x:v>
      </x:c>
      <x:c r="G15" s="16" t="s">
        <x:v>1353</x:v>
      </x:c>
      <x:c r="H15" s="33" t="s">
        <x:v>1322</x:v>
      </x:c>
      <x:c r="I15" s="33"/>
      <x:c r="J15" s="33" t="s">
        <x:v>1301</x:v>
      </x:c>
      <x:c r="K15" s="33"/>
      <x:c r="L15" s="33"/>
    </x:row>
    <x:row r="16" ht="91.5" hidden="0" customHeight="1">
      <x:c r="A16" s="42" t="n">
        <x:v>13</x:v>
      </x:c>
      <x:c r="B16" s="15" t="s">
        <x:v>1354</x:v>
      </x:c>
      <x:c r="C16" s="33" t="s">
        <x:v>1344</x:v>
      </x:c>
      <x:c r="D16" s="16" t="s">
        <x:v>1355</x:v>
      </x:c>
      <x:c r="E16" s="16" t="s">
        <x:v>1356</x:v>
      </x:c>
      <x:c r="F16" s="16" t="s">
        <x:v>1357</x:v>
      </x:c>
      <x:c r="G16" s="16" t="s">
        <x:v>1321</x:v>
      </x:c>
      <x:c r="H16" s="33" t="s">
        <x:v>248</x:v>
      </x:c>
      <x:c r="I16" s="33"/>
      <x:c r="J16" s="33" t="s">
        <x:v>1301</x:v>
      </x:c>
      <x:c r="K16" s="33"/>
      <x:c r="L16" s="33"/>
    </x:row>
    <x:row r="17" ht="91.5" hidden="0" customHeight="1">
      <x:c r="A17" s="42" t="n">
        <x:v>14</x:v>
      </x:c>
      <x:c r="B17" s="15" t="s">
        <x:v>1358</x:v>
      </x:c>
      <x:c r="C17" s="33" t="s">
        <x:v>1344</x:v>
      </x:c>
      <x:c r="D17" s="16" t="s">
        <x:v>1359</x:v>
      </x:c>
      <x:c r="E17" s="16" t="s">
        <x:v>1360</x:v>
      </x:c>
      <x:c r="F17" s="16" t="s">
        <x:v>1361</x:v>
      </x:c>
      <x:c r="G17" s="16" t="s">
        <x:v>1348</x:v>
      </x:c>
      <x:c r="H17" s="33" t="s">
        <x:v>1322</x:v>
      </x:c>
      <x:c r="I17" s="33"/>
      <x:c r="J17" s="33" t="s">
        <x:v>1301</x:v>
      </x:c>
      <x:c r="K17" s="33"/>
      <x:c r="L17" s="33"/>
    </x:row>
  </x:sheetData>
  <x:mergeCells>
    <x:mergeCell ref="A1:K1"/>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ColWidth="8.6796875" defaultRowHeight="14.25"/>
  <x:cols>
    <x:col min="1" max="1" width="2" style="1" hidden="0" customWidth="1"/>
    <x:col min="2" max="2" width="18" style="1" hidden="0" customWidth="1"/>
    <x:col min="3" max="3" width="11" style="1" hidden="0" customWidth="1"/>
    <x:col min="4" max="6" width="12" style="1" hidden="0" customWidth="1"/>
    <x:col min="7" max="7" width="20" style="1" hidden="0" customWidth="1"/>
    <x:col min="8" max="8" width="8" style="1" hidden="0" customWidth="1"/>
    <x:col min="9" max="9" width="13" style="1" hidden="0" customWidth="1"/>
    <x:col min="10" max="10" width="15" style="1" hidden="0" customWidth="1"/>
  </x:cols>
  <x:sheetData>
    <x:row r="2" ht="18" hidden="0" customHeight="1">
      <x:c r="B2" s="47" t="s">
        <x:v>1362</x:v>
      </x:c>
    </x:row>
    <x:row r="3" ht="15" hidden="0" customHeight="1">
      <x:c r="B3" s="48" t="s">
        <x:v>1363</x:v>
      </x:c>
      <x:c r="C3" s="48"/>
      <x:c r="D3" s="48"/>
      <x:c r="E3" s="48"/>
      <x:c r="F3" s="48"/>
      <x:c r="G3" s="48"/>
      <x:c r="H3" s="48"/>
    </x:row>
    <x:row r="5" ht="26.25" hidden="0" customHeight="1">
      <x:c r="B5" s="49" t="s">
        <x:v>1364</x:v>
      </x:c>
      <x:c r="C5" s="49" t="s">
        <x:v>1365</x:v>
      </x:c>
      <x:c r="D5" s="49" t="s">
        <x:v>309</x:v>
      </x:c>
      <x:c r="E5" s="49" t="s">
        <x:v>1241</x:v>
      </x:c>
      <x:c r="F5" s="49" t="s">
        <x:v>1366</x:v>
      </x:c>
      <x:c r="G5" s="49" t="s">
        <x:v>1367</x:v>
      </x:c>
      <x:c r="H5" s="49" t="s">
        <x:v>1368</x:v>
      </x:c>
      <x:c r="I5" s="49" t="s">
        <x:v>1369</x:v>
      </x:c>
      <x:c r="J5" s="49" t="s">
        <x:v>1370</x:v>
      </x:c>
    </x:row>
    <x:row r="6" ht="15" hidden="0" customHeight="1">
      <x:c r="B6" s="15" t="s">
        <x:v>964</x:v>
      </x:c>
      <x:c r="C6" s="33" t="n">
        <x:v>38</x:v>
      </x:c>
      <x:c r="D6" s="33" t="n">
        <x:f aca="0">COUNTIF('Control Library - ISO 42001'!F4:F41,"Not started")</x:f>
        <x:v>38</x:v>
      </x:c>
      <x:c r="E6" s="33" t="n">
        <x:f aca="0">COUNTIF('Control Library - ISO 42001'!F4:F41,"In progress")</x:f>
        <x:v>0</x:v>
      </x:c>
      <x:c r="F6" s="33" t="n">
        <x:f aca="0">COUNTIF('Control Library - ISO 42001'!F4:F41,"Implemented")</x:f>
        <x:v>0</x:v>
      </x:c>
      <x:c r="G6" s="33" t="n">
        <x:f aca="0">COUNTIF('Control Library - ISO 42001'!F4:F41,"Operating effectively")</x:f>
        <x:v>0</x:v>
      </x:c>
      <x:c r="H6" s="33" t="n">
        <x:f aca="0">COUNTIF('Control Library - ISO 42001'!F4:F41,"Not applicable")</x:f>
        <x:v>0</x:v>
      </x:c>
      <x:c r="I6" s="33" t="str">
        <x:f aca="0">IFERROR(ROUND(AVERAGE('Control Library - ISO 42001'!G4:G41),2),"-")</x:f>
        <x:v>-</x:v>
      </x:c>
      <x:c r="J6" s="50" t="n">
        <x:f aca="0">IFERROR(ROUND((COUNTIF('Control Library - ISO 42001'!F4:F41,"Implemented")+COUNTIF('Control Library - ISO 42001'!F4:F41,"Operating effectively"))/(38-COUNTIF('Control Library - ISO 42001'!F4:F41,"Not applicable")),3),0)</x:f>
        <x:v>0</x:v>
      </x:c>
    </x:row>
    <x:row r="7" ht="15" hidden="0" customHeight="1">
      <x:c r="B7" s="51" t="s">
        <x:v>965</x:v>
      </x:c>
      <x:c r="C7" s="52" t="n">
        <x:v>72</x:v>
      </x:c>
      <x:c r="D7" s="52" t="n">
        <x:f aca="0">COUNTIF('Control Library - NIST AI RMF'!G4:G75,"Not started")</x:f>
        <x:v>72</x:v>
      </x:c>
      <x:c r="E7" s="52" t="n">
        <x:f aca="0">COUNTIF('Control Library - NIST AI RMF'!G4:G75,"In progress")</x:f>
        <x:v>0</x:v>
      </x:c>
      <x:c r="F7" s="52" t="n">
        <x:f aca="0">COUNTIF('Control Library - NIST AI RMF'!G4:G75,"Implemented")</x:f>
        <x:v>0</x:v>
      </x:c>
      <x:c r="G7" s="52" t="n">
        <x:f aca="0">COUNTIF('Control Library - NIST AI RMF'!G4:G75,"Operating effectively")</x:f>
        <x:v>0</x:v>
      </x:c>
      <x:c r="H7" s="52" t="n">
        <x:f aca="0">COUNTIF('Control Library - NIST AI RMF'!G4:G75,"Not applicable")</x:f>
        <x:v>0</x:v>
      </x:c>
      <x:c r="I7" s="52" t="str">
        <x:f aca="0">IFERROR(ROUND(AVERAGE('Control Library - NIST AI RMF'!H4:H75),2),"-")</x:f>
        <x:v>-</x:v>
      </x:c>
      <x:c r="J7" s="53" t="n">
        <x:f aca="0">IFERROR(ROUND((COUNTIF('Control Library - NIST AI RMF'!G4:G75,"Implemented")+COUNTIF('Control Library - NIST AI RMF'!G4:G75,"Operating effectively"))/(72-COUNTIF('Control Library - NIST AI RMF'!G4:G75,"Not applicable")),3),0)</x:f>
        <x:v>0</x:v>
      </x:c>
    </x:row>
    <x:row r="8" ht="15" hidden="0" customHeight="1">
      <x:c r="B8" s="15" t="s">
        <x:v>1371</x:v>
      </x:c>
      <x:c r="C8" s="33" t="n">
        <x:v>30</x:v>
      </x:c>
      <x:c r="D8" s="33" t="n">
        <x:f aca="0">COUNTIF('Control Library - MAS'!H4:H33,"Not started")</x:f>
        <x:v>26</x:v>
      </x:c>
      <x:c r="E8" s="33" t="n">
        <x:f aca="0">COUNTIF('Control Library - MAS'!H4:H33,"In progress")</x:f>
        <x:v>4</x:v>
      </x:c>
      <x:c r="F8" s="33" t="n">
        <x:f aca="0">COUNTIF('Control Library - MAS'!H4:H33,"Implemented")</x:f>
        <x:v>0</x:v>
      </x:c>
      <x:c r="G8" s="33" t="n">
        <x:f aca="0">COUNTIF('Control Library - MAS'!H4:H33,"Operating effectively")</x:f>
        <x:v>0</x:v>
      </x:c>
      <x:c r="H8" s="33" t="n">
        <x:f aca="0">COUNTIF('Control Library - MAS'!H4:H33,"Not applicable")</x:f>
        <x:v>0</x:v>
      </x:c>
      <x:c r="I8" s="33" t="str">
        <x:f aca="0">IFERROR(ROUND(AVERAGE('Control Library - MAS'!I4:I33),2),"-")</x:f>
        <x:v>-</x:v>
      </x:c>
      <x:c r="J8" s="50" t="n">
        <x:f aca="0">IFERROR(ROUND((COUNTIF('Control Library - MAS'!H4:H33,"Implemented")+COUNTIF('Control Library - MAS'!H4:H33,"Operating effectively"))/(30-COUNTIF('Control Library - MAS'!H4:H33,"Not applicable")),3),0)</x:f>
        <x:v>0</x:v>
      </x:c>
    </x:row>
    <x:row r="9" ht="15" hidden="0" customHeight="1">
      <x:c r="B9" s="15" t="s">
        <x:v>1372</x:v>
      </x:c>
      <x:c r="C9" s="33" t="n">
        <x:v>34</x:v>
      </x:c>
      <x:c r="D9" s="33" t="n">
        <x:f aca="0">COUNTIF('Control Library - MGF Agentic'!I4:I37,"Not started")</x:f>
        <x:v>34</x:v>
      </x:c>
      <x:c r="E9" s="33" t="n">
        <x:f aca="0">COUNTIF('Control Library - MGF Agentic'!I4:I37,"In progress")</x:f>
        <x:v>0</x:v>
      </x:c>
      <x:c r="F9" s="33" t="n">
        <x:f aca="0">COUNTIF('Control Library - MGF Agentic'!I4:I37,"Implemented")</x:f>
        <x:v>0</x:v>
      </x:c>
      <x:c r="G9" s="33" t="n">
        <x:f aca="0">COUNTIF('Control Library - MGF Agentic'!I4:I37,"Operating effectively")</x:f>
        <x:v>0</x:v>
      </x:c>
      <x:c r="H9" s="33" t="n">
        <x:f aca="0">COUNTIF('Control Library - MGF Agentic'!I4:I37,"Not applicable")</x:f>
        <x:v>0</x:v>
      </x:c>
      <x:c r="I9" s="33" t="str">
        <x:f aca="0">IFERROR(ROUND(AVERAGE('Control Library - MGF Agentic'!J4:J37),2),"-")</x:f>
        <x:v>-</x:v>
      </x:c>
      <x:c r="J9" s="33" t="n">
        <x:f aca="0">IFERROR(ROUND((COUNTIF('Control Library - MGF Agentic'!I4:I37,"Implemented")+COUNTIF('Control Library - MGF Agentic'!I4:I37,"Operating effectively"))/(34-COUNTIF('Control Library - MGF Agentic'!I4:I37,"Not applicable")),3),0)</x:f>
        <x:v>0</x:v>
      </x:c>
    </x:row>
    <x:row r="10" ht="15" hidden="0" customHeight="1">
      <x:c r="B10" s="15" t="s">
        <x:v>1373</x:v>
      </x:c>
      <x:c r="C10" s="33" t="n">
        <x:v>21</x:v>
      </x:c>
      <x:c r="D10" s="33" t="n">
        <x:f aca="0">COUNTIF('Control Library - SAFR'!I4:I24,"Not started")</x:f>
        <x:v>21</x:v>
      </x:c>
      <x:c r="E10" s="33" t="n">
        <x:f aca="0">COUNTIF('Control Library - SAFR'!I4:I24,"In progress")</x:f>
        <x:v>0</x:v>
      </x:c>
      <x:c r="F10" s="33" t="n">
        <x:f aca="0">COUNTIF('Control Library - SAFR'!I4:I24,"Implemented")</x:f>
        <x:v>0</x:v>
      </x:c>
      <x:c r="G10" s="33" t="n">
        <x:f aca="0">COUNTIF('Control Library - SAFR'!I4:I24,"Operating effectively")</x:f>
        <x:v>0</x:v>
      </x:c>
      <x:c r="H10" s="33" t="n">
        <x:f aca="0">COUNTIF('Control Library - SAFR'!I4:I24,"Not applicable")</x:f>
        <x:v>0</x:v>
      </x:c>
      <x:c r="I10" s="33" t="str">
        <x:f aca="0">IFERROR(ROUND(AVERAGE('Control Library - SAFR'!J4:J24),2),"-")</x:f>
        <x:v>-</x:v>
      </x:c>
      <x:c r="J10" s="33" t="n">
        <x:f aca="0">IFERROR(ROUND((COUNTIF('Control Library - SAFR'!I4:I24,"Implemented")+COUNTIF('Control Library - SAFR'!I4:I24,"Operating effectively"))/(C10-COUNTIF('Control Library - SAFR'!I4:I24,"Not applicable")),3),0)</x:f>
        <x:v>0</x:v>
      </x:c>
    </x:row>
    <x:row r="11" ht="14.25" hidden="0" customHeight="1">
      <x:c r="B11" s="54" t="s">
        <x:v>1374</x:v>
      </x:c>
      <x:c r="C11" s="55" t="n">
        <x:f aca="0">SUM(C6:C10)</x:f>
        <x:v>195</x:v>
      </x:c>
      <x:c r="D11" s="55" t="n">
        <x:f aca="0">SUM(D6:D10)</x:f>
        <x:v>191</x:v>
      </x:c>
      <x:c r="E11" s="55" t="n">
        <x:f aca="0">SUM(E6:E10)</x:f>
        <x:v>4</x:v>
      </x:c>
      <x:c r="F11" s="55" t="n">
        <x:f aca="0">SUM(F6:F10)</x:f>
        <x:v>0</x:v>
      </x:c>
      <x:c r="G11" s="55" t="n">
        <x:f aca="0">SUM(G6:G10)</x:f>
        <x:v>0</x:v>
      </x:c>
      <x:c r="H11" s="55" t="n">
        <x:f aca="0">SUM(H6:H10)</x:f>
        <x:v>0</x:v>
      </x:c>
      <x:c r="I11" s="55" t="str">
        <x:f aca="0">IFERROR(ROUND(AVERAGE(I6:I10),2),"-")</x:f>
        <x:v>-</x:v>
      </x:c>
      <x:c r="J11" s="56" t="n">
        <x:f aca="0">IFERROR((F11+G11)/(C11-H11),0)</x:f>
        <x:v>0</x:v>
      </x:c>
    </x:row>
    <x:row r="12" ht="15" hidden="0" customHeight="1"/>
    <x:row r="13" ht="15" hidden="0" customHeight="1">
      <x:c r="B13" s="57" t="s">
        <x:v>1375</x:v>
      </x:c>
    </x:row>
    <x:row r="14" ht="15" hidden="0" customHeight="1">
      <x:c r="B14" s="30" t="s">
        <x:v>1376</x:v>
      </x:c>
    </x:row>
    <x:row r="15" ht="15" hidden="0" customHeight="1">
      <x:c r="B15" s="57" t="s">
        <x:v>1377</x:v>
      </x:c>
    </x:row>
    <x:row r="16" ht="15" hidden="0" customHeight="1">
      <x:c r="B16" s="30" t="s">
        <x:v>1378</x:v>
      </x:c>
    </x:row>
    <x:row r="17" ht="14.25" hidden="0" customHeight="1">
      <x:c r="B17" s="58" t="s">
        <x:v>1379</x:v>
      </x:c>
    </x:row>
    <x:row r="18" ht="15" hidden="0" customHeight="1">
      <x:c r="B18" s="9"/>
      <x:c r="C18" s="9"/>
      <x:c r="D18" s="9"/>
      <x:c r="E18" s="9"/>
      <x:c r="F18" s="9"/>
    </x:row>
    <x:row r="19" ht="15" hidden="0" customHeight="1">
      <x:c r="B19" s="59" t="s">
        <x:v>1380</x:v>
      </x:c>
      <x:c r="C19" s="59"/>
      <x:c r="D19" s="59"/>
      <x:c r="E19" s="59"/>
      <x:c r="F19" s="60"/>
    </x:row>
    <x:row r="20" ht="27" hidden="0" customHeight="1">
      <x:c r="B20" s="61" t="s">
        <x:v>1381</x:v>
      </x:c>
      <x:c r="F20" s="62" t="str">
        <x:f aca="0">COUNTIF('Control Library - MAS'!H30:H33,"&lt;&gt;Not started")&amp;" / 4"</x:f>
        <x:v>4 / 4</x:v>
      </x:c>
    </x:row>
    <x:row r="21" ht="15" hidden="0" customHeight="1">
      <x:c r="B21" s="63" t="s">
        <x:v>1382</x:v>
      </x:c>
      <x:c r="C21" s="63" t="s">
        <x:v>1383</x:v>
      </x:c>
      <x:c r="D21" s="63" t="s">
        <x:v>1384</x:v>
      </x:c>
      <x:c r="E21" s="63" t="s">
        <x:v>1385</x:v>
      </x:c>
      <x:c r="F21" s="63" t="s">
        <x:v>1386</x:v>
      </x:c>
    </x:row>
    <x:row r="22" ht="15" hidden="0" customHeight="1">
      <x:c r="B22" s="64" t="s">
        <x:v>1387</x:v>
      </x:c>
      <x:c r="C22" s="65" t="str">
        <x:f aca="0">'Control Library - MAS'!H30</x:f>
        <x:v>In progress</x:v>
      </x:c>
      <x:c r="D22" s="65" t="s">
        <x:v>1388</x:v>
      </x:c>
      <x:c r="E22" s="66" t="s">
        <x:v>1389</x:v>
      </x:c>
      <x:c r="F22" s="65" t="s">
        <x:v>1390</x:v>
      </x:c>
    </x:row>
    <x:row r="23" ht="15" hidden="0" customHeight="1">
      <x:c r="B23" s="64" t="s">
        <x:v>1391</x:v>
      </x:c>
      <x:c r="C23" s="65" t="str">
        <x:f aca="0">'Control Library - MAS'!H31</x:f>
        <x:v>In progress</x:v>
      </x:c>
      <x:c r="D23" s="65" t="s">
        <x:v>1392</x:v>
      </x:c>
      <x:c r="E23" s="66" t="s">
        <x:v>1393</x:v>
      </x:c>
      <x:c r="F23" s="65" t="s">
        <x:v>1394</x:v>
      </x:c>
    </x:row>
    <x:row r="24" ht="15" hidden="0" customHeight="1">
      <x:c r="B24" s="64" t="s">
        <x:v>1395</x:v>
      </x:c>
      <x:c r="C24" s="65" t="str">
        <x:f aca="0">'Control Library - MAS'!H32</x:f>
        <x:v>In progress</x:v>
      </x:c>
      <x:c r="D24" s="65" t="s">
        <x:v>1392</x:v>
      </x:c>
      <x:c r="E24" s="66" t="s">
        <x:v>1396</x:v>
      </x:c>
      <x:c r="F24" s="65" t="s">
        <x:v>1394</x:v>
      </x:c>
    </x:row>
    <x:row r="25" ht="15" hidden="0" customHeight="1">
      <x:c r="B25" s="64" t="s">
        <x:v>1397</x:v>
      </x:c>
      <x:c r="C25" s="65" t="str">
        <x:f aca="0">'Control Library - MAS'!H33</x:f>
        <x:v>In progress</x:v>
      </x:c>
      <x:c r="D25" s="65" t="s">
        <x:v>1388</x:v>
      </x:c>
    </x:row>
    <x:row r="26" ht="14.25" hidden="0" customHeight="1">
      <x:c r="B26" s="67" t="s">
        <x:v>1398</x:v>
      </x:c>
      <x:c r="C26" s="67"/>
      <x:c r="D26" s="67"/>
      <x:c r="E26" s="67"/>
      <x:c r="F26" s="67"/>
    </x:row>
    <x:row r="28" ht="14.25" hidden="0">
      <x:c r="B28" s="59" t="s">
        <x:v>1399</x:v>
      </x:c>
      <x:c r="C28" s="59"/>
      <x:c r="D28" s="59"/>
      <x:c r="E28" s="59"/>
      <x:c r="F28" s="59"/>
      <x:c r="G28" s="59"/>
      <x:c r="H28" s="59"/>
    </x:row>
    <x:row r="29" ht="46.25" hidden="0">
      <x:c r="B29" s="49" t="s">
        <x:v>1364</x:v>
      </x:c>
      <x:c r="C29" s="49" t="s">
        <x:v>1400</x:v>
      </x:c>
      <x:c r="D29" s="49" t="s">
        <x:v>1401</x:v>
      </x:c>
      <x:c r="E29" s="49" t="s">
        <x:v>1402</x:v>
      </x:c>
      <x:c r="F29" s="49" t="s">
        <x:v>1403</x:v>
      </x:c>
      <x:c r="G29" s="49" t="s">
        <x:v>1404</x:v>
      </x:c>
      <x:c r="H29" s="49" t="s">
        <x:v>1405</x:v>
      </x:c>
    </x:row>
    <x:row r="30" ht="14.25" hidden="0">
      <x:c r="B30" s="15" t="s">
        <x:v>964</x:v>
      </x:c>
      <x:c r="C30" s="33" t="n">
        <x:f aca="0">COUNTIF('Control Library - ISO 42001'!O4:O41,"Adequate")+COUNTIF('Control Library - ISO 42001'!O4:O41,"Partially adequate")+COUNTIF('Control Library - ISO 42001'!O4:O41,"Inadequate")</x:f>
        <x:v>0</x:v>
      </x:c>
      <x:c r="D30" s="33" t="n">
        <x:f aca="0">COUNTIF('Control Library - ISO 42001'!O4:O41,"Adequate")</x:f>
        <x:v>0</x:v>
      </x:c>
      <x:c r="E30" s="50" t="n">
        <x:f aca="0">IFERROR(D30/C30,0)</x:f>
        <x:v>0</x:v>
      </x:c>
      <x:c r="F30" s="33" t="n">
        <x:f aca="0">COUNTIF('Control Library - ISO 42001'!P4:P41,"Effective")+COUNTIF('Control Library - ISO 42001'!P4:P41,"Partially effective")+COUNTIF('Control Library - ISO 42001'!P4:P41,"Ineffective")</x:f>
        <x:v>0</x:v>
      </x:c>
      <x:c r="G30" s="33" t="n">
        <x:f aca="0">COUNTIF('Control Library - ISO 42001'!P4:P41,"Effective")</x:f>
        <x:v>0</x:v>
      </x:c>
      <x:c r="H30" s="50" t="n">
        <x:f aca="0">IFERROR(G30/F30,0)</x:f>
        <x:v>0</x:v>
      </x:c>
    </x:row>
    <x:row r="31" ht="14.25" hidden="0">
      <x:c r="B31" s="15" t="s">
        <x:v>965</x:v>
      </x:c>
      <x:c r="C31" s="33" t="n">
        <x:f aca="0">COUNTIF('Control Library - NIST AI RMF'!P4:P75,"Adequate")+COUNTIF('Control Library - NIST AI RMF'!P4:P75,"Partially adequate")+COUNTIF('Control Library - NIST AI RMF'!P4:P75,"Inadequate")</x:f>
        <x:v>0</x:v>
      </x:c>
      <x:c r="D31" s="33" t="n">
        <x:f aca="0">COUNTIF('Control Library - NIST AI RMF'!P4:P75,"Adequate")</x:f>
        <x:v>0</x:v>
      </x:c>
      <x:c r="E31" s="50" t="n">
        <x:f aca="0">IFERROR(D31/C31,0)</x:f>
        <x:v>0</x:v>
      </x:c>
      <x:c r="F31" s="33" t="n">
        <x:f aca="0">COUNTIF('Control Library - NIST AI RMF'!Q4:Q75,"Effective")+COUNTIF('Control Library - NIST AI RMF'!Q4:Q75,"Partially effective")+COUNTIF('Control Library - NIST AI RMF'!Q4:Q75,"Ineffective")</x:f>
        <x:v>0</x:v>
      </x:c>
      <x:c r="G31" s="33" t="n">
        <x:f aca="0">COUNTIF('Control Library - NIST AI RMF'!Q4:Q75,"Effective")</x:f>
        <x:v>0</x:v>
      </x:c>
      <x:c r="H31" s="50" t="n">
        <x:f aca="0">IFERROR(G31/F31,0)</x:f>
        <x:v>0</x:v>
      </x:c>
    </x:row>
    <x:row r="32" ht="14.25" hidden="0">
      <x:c r="B32" s="15" t="s">
        <x:v>1371</x:v>
      </x:c>
      <x:c r="C32" s="33" t="n">
        <x:f aca="0">COUNTIF('Control Library - MAS'!S4:S33,"Adequate")+COUNTIF('Control Library - MAS'!S4:S33,"Partially adequate")+COUNTIF('Control Library - MAS'!S4:S33,"Inadequate")</x:f>
        <x:v>0</x:v>
      </x:c>
      <x:c r="D32" s="33" t="n">
        <x:f aca="0">COUNTIF('Control Library - MAS'!S4:S33,"Adequate")</x:f>
        <x:v>0</x:v>
      </x:c>
      <x:c r="E32" s="50" t="n">
        <x:f aca="0">IFERROR(D32/C32,0)</x:f>
        <x:v>0</x:v>
      </x:c>
      <x:c r="F32" s="33" t="n">
        <x:f aca="0">COUNTIF('Control Library - MAS'!T4:T33,"Effective")+COUNTIF('Control Library - MAS'!T4:T33,"Partially effective")+COUNTIF('Control Library - MAS'!T4:T33,"Ineffective")</x:f>
        <x:v>0</x:v>
      </x:c>
      <x:c r="G32" s="33" t="n">
        <x:f aca="0">COUNTIF('Control Library - MAS'!T4:T33,"Effective")</x:f>
        <x:v>0</x:v>
      </x:c>
      <x:c r="H32" s="50" t="n">
        <x:f aca="0">IFERROR(G32/F32,0)</x:f>
        <x:v>0</x:v>
      </x:c>
    </x:row>
    <x:row r="33" ht="14.25" hidden="0">
      <x:c r="B33" s="15" t="s">
        <x:v>1372</x:v>
      </x:c>
      <x:c r="C33" s="33" t="n">
        <x:f aca="0">COUNTIF('Control Library - MGF Agentic'!V4:V37,"Adequate")+COUNTIF('Control Library - MGF Agentic'!V4:V37,"Partially adequate")+COUNTIF('Control Library - MGF Agentic'!V4:V37,"Inadequate")</x:f>
        <x:v>0</x:v>
      </x:c>
      <x:c r="D33" s="33" t="n">
        <x:f aca="0">COUNTIF('Control Library - MGF Agentic'!V4:V37,"Adequate")</x:f>
        <x:v>0</x:v>
      </x:c>
      <x:c r="E33" s="50" t="n">
        <x:f aca="0">IFERROR(D33/C33,0)</x:f>
        <x:v>0</x:v>
      </x:c>
      <x:c r="F33" s="33" t="n">
        <x:f aca="0">COUNTIF('Control Library - MGF Agentic'!W4:W37,"Effective")+COUNTIF('Control Library - MGF Agentic'!W4:W37,"Partially effective")+COUNTIF('Control Library - MGF Agentic'!W4:W37,"Ineffective")</x:f>
        <x:v>0</x:v>
      </x:c>
      <x:c r="G33" s="33" t="n">
        <x:f aca="0">COUNTIF('Control Library - MGF Agentic'!W4:W37,"Effective")</x:f>
        <x:v>0</x:v>
      </x:c>
      <x:c r="H33" s="50" t="n">
        <x:f aca="0">IFERROR(G33/F33,0)</x:f>
        <x:v>0</x:v>
      </x:c>
    </x:row>
    <x:row r="34" ht="14.25" hidden="0">
      <x:c r="B34" s="15" t="s">
        <x:v>1373</x:v>
      </x:c>
      <x:c r="C34" s="33" t="n">
        <x:f aca="0">COUNTIF('Control Library - SAFR'!W4:W24,"Adequate")+COUNTIF('Control Library - SAFR'!W4:W24,"Partially adequate")+COUNTIF('Control Library - SAFR'!W4:W24,"Inadequate")</x:f>
        <x:v>0</x:v>
      </x:c>
      <x:c r="D34" s="33" t="n">
        <x:f aca="0">COUNTIF('Control Library - SAFR'!W4:W24,"Adequate")</x:f>
        <x:v>0</x:v>
      </x:c>
      <x:c r="E34" s="50" t="n">
        <x:f aca="0">IFERROR(D34/C34,0)</x:f>
        <x:v>0</x:v>
      </x:c>
      <x:c r="F34" s="33" t="n">
        <x:f aca="0">COUNTIF('Control Library - SAFR'!X4:X24,"Effective")+COUNTIF('Control Library - SAFR'!X4:X24,"Partially effective")+COUNTIF('Control Library - SAFR'!X4:X24,"Ineffective")</x:f>
        <x:v>0</x:v>
      </x:c>
      <x:c r="G34" s="33" t="n">
        <x:f aca="0">COUNTIF('Control Library - SAFR'!X4:X24,"Effective")</x:f>
        <x:v>0</x:v>
      </x:c>
      <x:c r="H34" s="50" t="n">
        <x:f aca="0">IFERROR(G34/F34,0)</x:f>
        <x:v>0</x:v>
      </x:c>
    </x:row>
    <x:row r="35" ht="14.25" hidden="0">
      <x:c r="B35" s="54" t="s">
        <x:v>1374</x:v>
      </x:c>
      <x:c r="C35" s="55" t="n">
        <x:f aca="0">SUM(C30:C34)</x:f>
        <x:v>0</x:v>
      </x:c>
      <x:c r="D35" s="55" t="n">
        <x:f aca="0">SUM(D30:D34)</x:f>
        <x:v>0</x:v>
      </x:c>
      <x:c r="E35" s="50" t="n">
        <x:f aca="0">IFERROR(D35/C35,0)</x:f>
        <x:v>0</x:v>
      </x:c>
      <x:c r="F35" s="55" t="n">
        <x:f aca="0">SUM(F30:F34)</x:f>
        <x:v>0</x:v>
      </x:c>
      <x:c r="G35" s="55" t="n">
        <x:f aca="0">SUM(G30:G34)</x:f>
        <x:v>0</x:v>
      </x:c>
      <x:c r="H35" s="50" t="n">
        <x:f aca="0">IFERROR(G35/F35,0)</x:f>
        <x:v>0</x:v>
      </x:c>
    </x:row>
    <x:row r="37" ht="14.25" hidden="0">
      <x:c r="B37" s="68" t="s">
        <x:v>1406</x:v>
      </x:c>
      <x:c r="C37" s="68"/>
      <x:c r="D37" s="68"/>
      <x:c r="E37" s="68"/>
      <x:c r="F37" s="68"/>
      <x:c r="G37" s="68"/>
      <x:c r="H37" s="68"/>
    </x:row>
    <x:row r="38" ht="126.8499984741211" hidden="0">
      <x:c r="B38" s="69" t="s">
        <x:v>1407</x:v>
      </x:c>
    </x:row>
  </x:sheetData>
  <x:mergeCells>
    <x:mergeCell ref="B3:H3"/>
    <x:mergeCell ref="B18:F18"/>
    <x:mergeCell ref="B19:E19"/>
    <x:mergeCell ref="B26:F26"/>
    <x:mergeCell ref="B28:H28"/>
    <x:mergeCell ref="B37:H37"/>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ColWidth="8.6796875" defaultRowHeight="15"/>
  <x:cols>
    <x:col min="1" max="1" width="20" style="1" hidden="0" customWidth="1"/>
    <x:col min="2" max="2" width="12" style="1" hidden="0" customWidth="1"/>
    <x:col min="3" max="4" width="30" style="1" hidden="0" customWidth="1"/>
    <x:col min="5" max="7" width="24" style="1" hidden="0" customWidth="1"/>
    <x:col min="8" max="8" width="16" style="1" hidden="0" customWidth="1"/>
    <x:col min="9" max="9" width="11" style="1" hidden="0" customWidth="1"/>
    <x:col min="10" max="10" width="20" style="1" hidden="0" customWidth="1"/>
    <x:col min="11" max="12" width="13" style="1" hidden="0" customWidth="1"/>
    <x:col min="13" max="13" width="24" style="1" hidden="0" customWidth="1"/>
    <x:col min="14" max="14" width="9" style="1" hidden="0" customWidth="1"/>
    <x:col min="15" max="15" width="11" style="1" hidden="0" customWidth="1"/>
    <x:col min="16" max="16" width="16" style="1" hidden="0" customWidth="1"/>
    <x:col min="17" max="17" width="30" style="1" hidden="0" customWidth="1"/>
    <x:col min="19" max="20" width="42" style="1" hidden="0" customWidth="1"/>
    <x:col min="21" max="21" width="26" style="1" hidden="0" customWidth="1"/>
    <x:col min="22" max="23" width="18" style="1" hidden="0" customWidth="1"/>
    <x:col min="24" max="24" width="62" style="1" hidden="0" customWidth="1"/>
    <x:col min="25" max="25" width="52" style="1" hidden="0" customWidth="1"/>
    <x:col min="26" max="27" width="62" style="1" hidden="0" customWidth="1"/>
    <x:col min="28" max="28" width="56" style="1" hidden="0" customWidth="1"/>
    <x:col min="29" max="29" width="26" style="1" hidden="0" customWidth="1"/>
  </x:cols>
  <x:sheetData>
    <x:row r="1" ht="15.75" hidden="0" customHeight="1">
      <x:c r="A1" s="70" t="s">
        <x:v>1408</x:v>
      </x:c>
    </x:row>
    <x:row r="3" ht="34.5" hidden="0" customHeight="1">
      <x:c r="A3" s="71" t="s">
        <x:v>1409</x:v>
      </x:c>
      <x:c r="B3" s="71" t="s">
        <x:v>1410</x:v>
      </x:c>
      <x:c r="C3" s="71" t="s">
        <x:v>1411</x:v>
      </x:c>
      <x:c r="D3" s="71" t="s">
        <x:v>1412</x:v>
      </x:c>
      <x:c r="E3" s="71" t="s">
        <x:v>1413</x:v>
      </x:c>
      <x:c r="F3" s="71" t="s">
        <x:v>1414</x:v>
      </x:c>
      <x:c r="G3" s="71" t="s">
        <x:v>965</x:v>
      </x:c>
      <x:c r="H3" s="71" t="s">
        <x:v>286</x:v>
      </x:c>
      <x:c r="I3" s="71" t="s">
        <x:v>287</x:v>
      </x:c>
      <x:c r="J3" s="71" t="s">
        <x:v>288</x:v>
      </x:c>
      <x:c r="K3" s="71" t="s">
        <x:v>289</x:v>
      </x:c>
      <x:c r="L3" s="71" t="s">
        <x:v>290</x:v>
      </x:c>
      <x:c r="M3" s="71" t="s">
        <x:v>291</x:v>
      </x:c>
      <x:c r="N3" s="71" t="s">
        <x:v>292</x:v>
      </x:c>
      <x:c r="O3" s="71" t="s">
        <x:v>1415</x:v>
      </x:c>
      <x:c r="P3" s="71" t="s">
        <x:v>1416</x:v>
      </x:c>
      <x:c r="Q3" s="71" t="s">
        <x:v>293</x:v>
      </x:c>
      <x:c r="R3" s="71" t="s">
        <x:v>1417</x:v>
      </x:c>
      <x:c r="S3" s="71" t="s">
        <x:v>294</x:v>
      </x:c>
      <x:c r="T3" s="71" t="s">
        <x:v>295</x:v>
      </x:c>
      <x:c r="U3" s="71" t="s">
        <x:v>967</x:v>
      </x:c>
      <x:c r="V3" s="32" t="s">
        <x:v>296</x:v>
      </x:c>
      <x:c r="W3" s="32" t="s">
        <x:v>297</x:v>
      </x:c>
      <x:c r="X3" s="32" t="s">
        <x:v>298</x:v>
      </x:c>
      <x:c r="Y3" s="32" t="s">
        <x:v>299</x:v>
      </x:c>
      <x:c r="Z3" s="32" t="s">
        <x:v>300</x:v>
      </x:c>
      <x:c r="AA3" s="32" t="s">
        <x:v>301</x:v>
      </x:c>
      <x:c r="AB3" s="32" t="s">
        <x:v>302</x:v>
      </x:c>
      <x:c r="AC3" s="32" t="s">
        <x:v>303</x:v>
      </x:c>
    </x:row>
    <x:row r="4" ht="300" hidden="0" customHeight="1">
      <x:c r="A4" s="72" t="s">
        <x:v>1418</x:v>
      </x:c>
      <x:c r="B4" s="73" t="s">
        <x:v>1419</x:v>
      </x:c>
      <x:c r="C4" s="74" t="s">
        <x:v>1420</x:v>
      </x:c>
      <x:c r="D4" s="74" t="s">
        <x:v>1421</x:v>
      </x:c>
      <x:c r="E4" s="74" t="s">
        <x:v>1422</x:v>
      </x:c>
      <x:c r="F4" s="74" t="s">
        <x:v>1423</x:v>
      </x:c>
      <x:c r="G4" s="74" t="s">
        <x:v>1424</x:v>
      </x:c>
      <x:c r="H4" s="74" t="s">
        <x:v>1425</x:v>
      </x:c>
      <x:c r="I4" s="74" t="s">
        <x:v>309</x:v>
      </x:c>
      <x:c r="J4" s="75"/>
      <x:c r="K4" s="74"/>
      <x:c r="L4" s="74"/>
      <x:c r="M4" s="74"/>
      <x:c r="N4" s="74"/>
      <x:c r="O4" s="75" t="n">
        <x:v>5</x:v>
      </x:c>
      <x:c r="P4" s="75" t="str">
        <x:f aca="0">IF(J4="","",O4*J4)</x:f>
      </x:c>
      <x:c r="Q4" s="74" t="s">
        <x:v>411</x:v>
      </x:c>
      <x:c r="R4" s="74" t="s">
        <x:v>1426</x:v>
      </x:c>
      <x:c r="S4" s="76" t="s">
        <x:v>1427</x:v>
      </x:c>
      <x:c r="T4" s="76" t="s">
        <x:v>361</x:v>
      </x:c>
      <x:c r="U4" s="74" t="s">
        <x:v>1195</x:v>
      </x:c>
      <x:c r="V4" s="5" t="s">
        <x:v>312</x:v>
      </x:c>
      <x:c r="W4" s="5" t="s">
        <x:v>312</x:v>
      </x:c>
      <x:c r="X4" s="5" t="s">
        <x:v>1428</x:v>
      </x:c>
      <x:c r="Y4" s="5" t="s">
        <x:v>363</x:v>
      </x:c>
      <x:c r="Z4" s="5" t="s">
        <x:v>364</x:v>
      </x:c>
      <x:c r="AA4" s="5" t="s">
        <x:v>365</x:v>
      </x:c>
      <x:c r="AB4" s="5" t="s">
        <x:v>366</x:v>
      </x:c>
      <x:c r="AC4" s="5" t="s">
        <x:v>367</x:v>
      </x:c>
    </x:row>
    <x:row r="5" ht="300" hidden="0" customHeight="1">
      <x:c r="A5" s="72" t="s">
        <x:v>1418</x:v>
      </x:c>
      <x:c r="B5" s="73" t="s">
        <x:v>1429</x:v>
      </x:c>
      <x:c r="C5" s="74" t="s">
        <x:v>1430</x:v>
      </x:c>
      <x:c r="D5" s="74" t="s">
        <x:v>1431</x:v>
      </x:c>
      <x:c r="E5" s="74" t="s">
        <x:v>1422</x:v>
      </x:c>
      <x:c r="F5" s="74" t="s">
        <x:v>1423</x:v>
      </x:c>
      <x:c r="G5" s="74" t="s">
        <x:v>1432</x:v>
      </x:c>
      <x:c r="H5" s="74" t="s">
        <x:v>1425</x:v>
      </x:c>
      <x:c r="I5" s="74" t="s">
        <x:v>309</x:v>
      </x:c>
      <x:c r="J5" s="75"/>
      <x:c r="K5" s="74"/>
      <x:c r="L5" s="74"/>
      <x:c r="M5" s="74"/>
      <x:c r="N5" s="74"/>
      <x:c r="O5" s="75" t="n">
        <x:v>4</x:v>
      </x:c>
      <x:c r="P5" s="75" t="str">
        <x:f aca="0">IF(J5="","",O5*J5)</x:f>
      </x:c>
      <x:c r="Q5" s="74" t="s">
        <x:v>1433</x:v>
      </x:c>
      <x:c r="R5" s="74" t="s">
        <x:v>1434</x:v>
      </x:c>
      <x:c r="S5" s="76" t="s">
        <x:v>1435</x:v>
      </x:c>
      <x:c r="T5" s="76" t="s">
        <x:v>361</x:v>
      </x:c>
      <x:c r="U5" s="74" t="s">
        <x:v>1067</x:v>
      </x:c>
      <x:c r="V5" s="5" t="s">
        <x:v>312</x:v>
      </x:c>
      <x:c r="W5" s="5" t="s">
        <x:v>312</x:v>
      </x:c>
      <x:c r="X5" s="5" t="s">
        <x:v>1436</x:v>
      </x:c>
      <x:c r="Y5" s="5" t="s">
        <x:v>363</x:v>
      </x:c>
      <x:c r="Z5" s="5" t="s">
        <x:v>364</x:v>
      </x:c>
      <x:c r="AA5" s="5" t="s">
        <x:v>365</x:v>
      </x:c>
      <x:c r="AB5" s="5" t="s">
        <x:v>366</x:v>
      </x:c>
      <x:c r="AC5" s="5" t="s">
        <x:v>367</x:v>
      </x:c>
    </x:row>
    <x:row r="6" ht="300" hidden="0" customHeight="1">
      <x:c r="A6" s="72" t="s">
        <x:v>1418</x:v>
      </x:c>
      <x:c r="B6" s="73" t="s">
        <x:v>1437</x:v>
      </x:c>
      <x:c r="C6" s="74" t="s">
        <x:v>1438</x:v>
      </x:c>
      <x:c r="D6" s="74" t="s">
        <x:v>1439</x:v>
      </x:c>
      <x:c r="E6" s="74" t="s">
        <x:v>1440</x:v>
      </x:c>
      <x:c r="F6" s="74" t="s">
        <x:v>430</x:v>
      </x:c>
      <x:c r="G6" s="74" t="s">
        <x:v>1441</x:v>
      </x:c>
      <x:c r="H6" s="74" t="s">
        <x:v>1425</x:v>
      </x:c>
      <x:c r="I6" s="74" t="s">
        <x:v>309</x:v>
      </x:c>
      <x:c r="J6" s="75"/>
      <x:c r="K6" s="74"/>
      <x:c r="L6" s="74"/>
      <x:c r="M6" s="74"/>
      <x:c r="N6" s="74"/>
      <x:c r="O6" s="75" t="n">
        <x:v>5</x:v>
      </x:c>
      <x:c r="P6" s="75" t="str">
        <x:f aca="0">IF(J6="","",O6*J6)</x:f>
      </x:c>
      <x:c r="Q6" s="74" t="s">
        <x:v>445</x:v>
      </x:c>
      <x:c r="R6" s="74" t="s">
        <x:v>1442</x:v>
      </x:c>
      <x:c r="S6" s="76" t="s">
        <x:v>1443</x:v>
      </x:c>
      <x:c r="T6" s="76" t="s">
        <x:v>530</x:v>
      </x:c>
      <x:c r="U6" s="74" t="s">
        <x:v>1206</x:v>
      </x:c>
      <x:c r="V6" s="5" t="s">
        <x:v>312</x:v>
      </x:c>
      <x:c r="W6" s="5" t="s">
        <x:v>312</x:v>
      </x:c>
      <x:c r="X6" s="5" t="s">
        <x:v>1444</x:v>
      </x:c>
      <x:c r="Y6" s="5" t="s">
        <x:v>532</x:v>
      </x:c>
      <x:c r="Z6" s="5" t="s">
        <x:v>533</x:v>
      </x:c>
      <x:c r="AA6" s="5" t="s">
        <x:v>534</x:v>
      </x:c>
      <x:c r="AB6" s="5" t="s">
        <x:v>535</x:v>
      </x:c>
      <x:c r="AC6" s="5" t="s">
        <x:v>536</x:v>
      </x:c>
    </x:row>
    <x:row r="7" ht="300" hidden="0" customHeight="1">
      <x:c r="A7" s="72" t="s">
        <x:v>1418</x:v>
      </x:c>
      <x:c r="B7" s="73" t="s">
        <x:v>1445</x:v>
      </x:c>
      <x:c r="C7" s="74" t="s">
        <x:v>1446</x:v>
      </x:c>
      <x:c r="D7" s="74" t="s">
        <x:v>1447</x:v>
      </x:c>
      <x:c r="E7" s="74" t="s">
        <x:v>1440</x:v>
      </x:c>
      <x:c r="F7" s="74" t="s">
        <x:v>430</x:v>
      </x:c>
      <x:c r="G7" s="74" t="s">
        <x:v>1448</x:v>
      </x:c>
      <x:c r="H7" s="74" t="s">
        <x:v>1449</x:v>
      </x:c>
      <x:c r="I7" s="74" t="s">
        <x:v>309</x:v>
      </x:c>
      <x:c r="J7" s="75"/>
      <x:c r="K7" s="74"/>
      <x:c r="L7" s="74"/>
      <x:c r="M7" s="74"/>
      <x:c r="N7" s="74"/>
      <x:c r="O7" s="75" t="n">
        <x:v>5</x:v>
      </x:c>
      <x:c r="P7" s="75" t="str">
        <x:f aca="0">IF(J7="","",O7*J7)</x:f>
      </x:c>
      <x:c r="Q7" s="74" t="s">
        <x:v>445</x:v>
      </x:c>
      <x:c r="R7" s="74" t="s">
        <x:v>1450</x:v>
      </x:c>
      <x:c r="S7" s="76" t="s">
        <x:v>1451</x:v>
      </x:c>
      <x:c r="T7" s="76" t="s">
        <x:v>530</x:v>
      </x:c>
      <x:c r="U7" s="74" t="s">
        <x:v>1206</x:v>
      </x:c>
      <x:c r="V7" s="5" t="s">
        <x:v>312</x:v>
      </x:c>
      <x:c r="W7" s="5" t="s">
        <x:v>312</x:v>
      </x:c>
      <x:c r="X7" s="5" t="s">
        <x:v>1452</x:v>
      </x:c>
      <x:c r="Y7" s="5" t="s">
        <x:v>532</x:v>
      </x:c>
      <x:c r="Z7" s="5" t="s">
        <x:v>533</x:v>
      </x:c>
      <x:c r="AA7" s="5" t="s">
        <x:v>534</x:v>
      </x:c>
      <x:c r="AB7" s="5" t="s">
        <x:v>535</x:v>
      </x:c>
      <x:c r="AC7" s="5" t="s">
        <x:v>536</x:v>
      </x:c>
    </x:row>
    <x:row r="8" ht="300" hidden="0" customHeight="1">
      <x:c r="A8" s="72" t="s">
        <x:v>1418</x:v>
      </x:c>
      <x:c r="B8" s="73" t="s">
        <x:v>1453</x:v>
      </x:c>
      <x:c r="C8" s="74" t="s">
        <x:v>1454</x:v>
      </x:c>
      <x:c r="D8" s="74" t="s">
        <x:v>1455</x:v>
      </x:c>
      <x:c r="E8" s="74" t="s">
        <x:v>1456</x:v>
      </x:c>
      <x:c r="F8" s="74" t="s">
        <x:v>330</x:v>
      </x:c>
      <x:c r="G8" s="74" t="s">
        <x:v>1457</x:v>
      </x:c>
      <x:c r="H8" s="74" t="s">
        <x:v>1425</x:v>
      </x:c>
      <x:c r="I8" s="74" t="s">
        <x:v>309</x:v>
      </x:c>
      <x:c r="J8" s="75"/>
      <x:c r="K8" s="74"/>
      <x:c r="L8" s="74"/>
      <x:c r="M8" s="74"/>
      <x:c r="N8" s="74"/>
      <x:c r="O8" s="75" t="n">
        <x:v>5</x:v>
      </x:c>
      <x:c r="P8" s="75" t="str">
        <x:f aca="0">IF(J8="","",O8*J8)</x:f>
      </x:c>
      <x:c r="Q8" s="74" t="s">
        <x:v>1458</x:v>
      </x:c>
      <x:c r="R8" s="74" t="s">
        <x:v>1459</x:v>
      </x:c>
      <x:c r="S8" s="76" t="s">
        <x:v>1460</x:v>
      </x:c>
      <x:c r="T8" s="76" t="s">
        <x:v>530</x:v>
      </x:c>
      <x:c r="U8" s="74" t="s">
        <x:v>1206</x:v>
      </x:c>
      <x:c r="V8" s="5" t="s">
        <x:v>312</x:v>
      </x:c>
      <x:c r="W8" s="5" t="s">
        <x:v>312</x:v>
      </x:c>
      <x:c r="X8" s="5" t="s">
        <x:v>1461</x:v>
      </x:c>
      <x:c r="Y8" s="5" t="s">
        <x:v>532</x:v>
      </x:c>
      <x:c r="Z8" s="5" t="s">
        <x:v>533</x:v>
      </x:c>
      <x:c r="AA8" s="5" t="s">
        <x:v>534</x:v>
      </x:c>
      <x:c r="AB8" s="5" t="s">
        <x:v>535</x:v>
      </x:c>
      <x:c r="AC8" s="5" t="s">
        <x:v>536</x:v>
      </x:c>
    </x:row>
    <x:row r="9" ht="300" hidden="0" customHeight="1">
      <x:c r="A9" s="72" t="s">
        <x:v>1418</x:v>
      </x:c>
      <x:c r="B9" s="73" t="s">
        <x:v>1462</x:v>
      </x:c>
      <x:c r="C9" s="74" t="s">
        <x:v>1463</x:v>
      </x:c>
      <x:c r="D9" s="74" t="s">
        <x:v>1464</x:v>
      </x:c>
      <x:c r="E9" s="74" t="s">
        <x:v>1465</x:v>
      </x:c>
      <x:c r="F9" s="74" t="s">
        <x:v>1466</x:v>
      </x:c>
      <x:c r="G9" s="74" t="s">
        <x:v>1467</x:v>
      </x:c>
      <x:c r="H9" s="74" t="s">
        <x:v>1425</x:v>
      </x:c>
      <x:c r="I9" s="74" t="s">
        <x:v>309</x:v>
      </x:c>
      <x:c r="J9" s="75"/>
      <x:c r="K9" s="74"/>
      <x:c r="L9" s="74"/>
      <x:c r="M9" s="74"/>
      <x:c r="N9" s="74"/>
      <x:c r="O9" s="75" t="n">
        <x:v>4</x:v>
      </x:c>
      <x:c r="P9" s="75" t="str">
        <x:f aca="0">IF(J9="","",O9*J9)</x:f>
      </x:c>
      <x:c r="Q9" s="74" t="s">
        <x:v>1468</x:v>
      </x:c>
      <x:c r="R9" s="74" t="s">
        <x:v>1469</x:v>
      </x:c>
      <x:c r="S9" s="76" t="s">
        <x:v>1470</x:v>
      </x:c>
      <x:c r="T9" s="76" t="s">
        <x:v>577</x:v>
      </x:c>
      <x:c r="U9" s="74" t="s">
        <x:v>1471</x:v>
      </x:c>
      <x:c r="V9" s="5" t="s">
        <x:v>312</x:v>
      </x:c>
      <x:c r="W9" s="5" t="s">
        <x:v>312</x:v>
      </x:c>
      <x:c r="X9" s="5" t="s">
        <x:v>1472</x:v>
      </x:c>
      <x:c r="Y9" s="5" t="s">
        <x:v>579</x:v>
      </x:c>
      <x:c r="Z9" s="5" t="s">
        <x:v>580</x:v>
      </x:c>
      <x:c r="AA9" s="5" t="s">
        <x:v>581</x:v>
      </x:c>
      <x:c r="AB9" s="5" t="s">
        <x:v>582</x:v>
      </x:c>
      <x:c r="AC9" s="5" t="s">
        <x:v>583</x:v>
      </x:c>
    </x:row>
    <x:row r="10" ht="300" hidden="0" customHeight="1">
      <x:c r="A10" s="77" t="s">
        <x:v>1473</x:v>
      </x:c>
      <x:c r="B10" s="73" t="s">
        <x:v>1474</x:v>
      </x:c>
      <x:c r="C10" s="74" t="s">
        <x:v>1475</x:v>
      </x:c>
      <x:c r="D10" s="74" t="s">
        <x:v>1476</x:v>
      </x:c>
      <x:c r="E10" s="74" t="s">
        <x:v>1456</x:v>
      </x:c>
      <x:c r="F10" s="74" t="s">
        <x:v>330</x:v>
      </x:c>
      <x:c r="G10" s="74" t="s">
        <x:v>1477</x:v>
      </x:c>
      <x:c r="H10" s="74" t="s">
        <x:v>1478</x:v>
      </x:c>
      <x:c r="I10" s="74" t="s">
        <x:v>309</x:v>
      </x:c>
      <x:c r="J10" s="75"/>
      <x:c r="K10" s="74"/>
      <x:c r="L10" s="74"/>
      <x:c r="M10" s="74"/>
      <x:c r="N10" s="74"/>
      <x:c r="O10" s="75" t="n">
        <x:v>5</x:v>
      </x:c>
      <x:c r="P10" s="75" t="str">
        <x:f aca="0">IF(J10="","",O10*J10)</x:f>
      </x:c>
      <x:c r="Q10" s="74" t="s">
        <x:v>1479</x:v>
      </x:c>
      <x:c r="R10" s="74" t="s">
        <x:v>1480</x:v>
      </x:c>
      <x:c r="S10" s="76" t="s">
        <x:v>1481</x:v>
      </x:c>
      <x:c r="T10" s="76" t="s">
        <x:v>335</x:v>
      </x:c>
      <x:c r="U10" s="74" t="s">
        <x:v>991</x:v>
      </x:c>
      <x:c r="V10" s="5" t="s">
        <x:v>312</x:v>
      </x:c>
      <x:c r="W10" s="5" t="s">
        <x:v>312</x:v>
      </x:c>
      <x:c r="X10" s="5" t="s">
        <x:v>1482</x:v>
      </x:c>
      <x:c r="Y10" s="5" t="s">
        <x:v>337</x:v>
      </x:c>
      <x:c r="Z10" s="5" t="s">
        <x:v>338</x:v>
      </x:c>
      <x:c r="AA10" s="5" t="s">
        <x:v>339</x:v>
      </x:c>
      <x:c r="AB10" s="5" t="s">
        <x:v>340</x:v>
      </x:c>
      <x:c r="AC10" s="5" t="s">
        <x:v>341</x:v>
      </x:c>
    </x:row>
    <x:row r="11" ht="300" hidden="0" customHeight="1">
      <x:c r="A11" s="77" t="s">
        <x:v>1473</x:v>
      </x:c>
      <x:c r="B11" s="73" t="s">
        <x:v>1483</x:v>
      </x:c>
      <x:c r="C11" s="74" t="s">
        <x:v>1484</x:v>
      </x:c>
      <x:c r="D11" s="74" t="s">
        <x:v>1485</x:v>
      </x:c>
      <x:c r="E11" s="74" t="s">
        <x:v>1456</x:v>
      </x:c>
      <x:c r="F11" s="74" t="s">
        <x:v>430</x:v>
      </x:c>
      <x:c r="G11" s="74" t="s">
        <x:v>1486</x:v>
      </x:c>
      <x:c r="H11" s="74" t="s">
        <x:v>1478</x:v>
      </x:c>
      <x:c r="I11" s="74" t="s">
        <x:v>309</x:v>
      </x:c>
      <x:c r="J11" s="75"/>
      <x:c r="K11" s="74"/>
      <x:c r="L11" s="74"/>
      <x:c r="M11" s="74"/>
      <x:c r="N11" s="74"/>
      <x:c r="O11" s="75" t="n">
        <x:v>3</x:v>
      </x:c>
      <x:c r="P11" s="75" t="str">
        <x:f aca="0">IF(J11="","",O11*J11)</x:f>
      </x:c>
      <x:c r="Q11" s="74" t="s">
        <x:v>327</x:v>
      </x:c>
      <x:c r="R11" s="74"/>
      <x:c r="S11" s="76" t="s">
        <x:v>1487</x:v>
      </x:c>
      <x:c r="T11" s="76" t="s">
        <x:v>400</x:v>
      </x:c>
      <x:c r="U11" s="74" t="s">
        <x:v>1001</x:v>
      </x:c>
      <x:c r="V11" s="5" t="s">
        <x:v>312</x:v>
      </x:c>
      <x:c r="W11" s="5" t="s">
        <x:v>312</x:v>
      </x:c>
      <x:c r="X11" s="5" t="s">
        <x:v>1488</x:v>
      </x:c>
      <x:c r="Y11" s="5" t="s">
        <x:v>402</x:v>
      </x:c>
      <x:c r="Z11" s="5" t="s">
        <x:v>403</x:v>
      </x:c>
      <x:c r="AA11" s="5" t="s">
        <x:v>404</x:v>
      </x:c>
      <x:c r="AB11" s="5" t="s">
        <x:v>405</x:v>
      </x:c>
      <x:c r="AC11" s="5" t="s">
        <x:v>406</x:v>
      </x:c>
    </x:row>
    <x:row r="12" ht="300" hidden="0" customHeight="1">
      <x:c r="A12" s="77" t="s">
        <x:v>1473</x:v>
      </x:c>
      <x:c r="B12" s="73" t="s">
        <x:v>1489</x:v>
      </x:c>
      <x:c r="C12" s="74" t="s">
        <x:v>1490</x:v>
      </x:c>
      <x:c r="D12" s="74" t="s">
        <x:v>1491</x:v>
      </x:c>
      <x:c r="E12" s="74" t="s">
        <x:v>1456</x:v>
      </x:c>
      <x:c r="F12" s="74" t="s">
        <x:v>430</x:v>
      </x:c>
      <x:c r="G12" s="74" t="s">
        <x:v>1492</x:v>
      </x:c>
      <x:c r="H12" s="74" t="s">
        <x:v>176</x:v>
      </x:c>
      <x:c r="I12" s="74" t="s">
        <x:v>309</x:v>
      </x:c>
      <x:c r="J12" s="75"/>
      <x:c r="K12" s="74"/>
      <x:c r="L12" s="74"/>
      <x:c r="M12" s="74"/>
      <x:c r="N12" s="74"/>
      <x:c r="O12" s="75" t="n">
        <x:v>5</x:v>
      </x:c>
      <x:c r="P12" s="75" t="str">
        <x:f aca="0">IF(J12="","",O12*J12)</x:f>
      </x:c>
      <x:c r="Q12" s="74" t="s">
        <x:v>468</x:v>
      </x:c>
      <x:c r="R12" s="74" t="s">
        <x:v>1493</x:v>
      </x:c>
      <x:c r="S12" s="76" t="s">
        <x:v>1494</x:v>
      </x:c>
      <x:c r="T12" s="76" t="s">
        <x:v>1495</x:v>
      </x:c>
      <x:c r="U12" s="74" t="s">
        <x:v>1067</x:v>
      </x:c>
      <x:c r="V12" s="5" t="s">
        <x:v>312</x:v>
      </x:c>
      <x:c r="W12" s="5" t="s">
        <x:v>312</x:v>
      </x:c>
      <x:c r="X12" s="5" t="s">
        <x:v>1496</x:v>
      </x:c>
      <x:c r="Y12" s="5" t="s">
        <x:v>1101</x:v>
      </x:c>
      <x:c r="Z12" s="5" t="s">
        <x:v>1102</x:v>
      </x:c>
      <x:c r="AA12" s="5" t="s">
        <x:v>1103</x:v>
      </x:c>
      <x:c r="AB12" s="5" t="s">
        <x:v>1104</x:v>
      </x:c>
      <x:c r="AC12" s="5" t="s">
        <x:v>1497</x:v>
      </x:c>
    </x:row>
    <x:row r="13" ht="300" hidden="0" customHeight="1">
      <x:c r="A13" s="77" t="s">
        <x:v>1473</x:v>
      </x:c>
      <x:c r="B13" s="73" t="s">
        <x:v>1498</x:v>
      </x:c>
      <x:c r="C13" s="74" t="s">
        <x:v>1499</x:v>
      </x:c>
      <x:c r="D13" s="74" t="s">
        <x:v>1500</x:v>
      </x:c>
      <x:c r="E13" s="74" t="s">
        <x:v>1456</x:v>
      </x:c>
      <x:c r="F13" s="74" t="s">
        <x:v>430</x:v>
      </x:c>
      <x:c r="G13" s="74" t="s">
        <x:v>1501</x:v>
      </x:c>
      <x:c r="H13" s="74" t="s">
        <x:v>176</x:v>
      </x:c>
      <x:c r="I13" s="74" t="s">
        <x:v>309</x:v>
      </x:c>
      <x:c r="J13" s="75"/>
      <x:c r="K13" s="74"/>
      <x:c r="L13" s="74"/>
      <x:c r="M13" s="74"/>
      <x:c r="N13" s="74"/>
      <x:c r="O13" s="75" t="n">
        <x:v>4</x:v>
      </x:c>
      <x:c r="P13" s="75" t="str">
        <x:f aca="0">IF(J13="","",O13*J13)</x:f>
      </x:c>
      <x:c r="Q13" s="74" t="s">
        <x:v>468</x:v>
      </x:c>
      <x:c r="R13" s="74" t="s">
        <x:v>1493</x:v>
      </x:c>
      <x:c r="S13" s="76" t="s">
        <x:v>1502</x:v>
      </x:c>
      <x:c r="T13" s="76" t="s">
        <x:v>1495</x:v>
      </x:c>
      <x:c r="U13" s="74" t="s">
        <x:v>1067</x:v>
      </x:c>
      <x:c r="V13" s="5" t="s">
        <x:v>312</x:v>
      </x:c>
      <x:c r="W13" s="5" t="s">
        <x:v>312</x:v>
      </x:c>
      <x:c r="X13" s="5" t="s">
        <x:v>1503</x:v>
      </x:c>
      <x:c r="Y13" s="5" t="s">
        <x:v>1101</x:v>
      </x:c>
      <x:c r="Z13" s="5" t="s">
        <x:v>1102</x:v>
      </x:c>
      <x:c r="AA13" s="5" t="s">
        <x:v>1103</x:v>
      </x:c>
      <x:c r="AB13" s="5" t="s">
        <x:v>1104</x:v>
      </x:c>
      <x:c r="AC13" s="5" t="s">
        <x:v>1497</x:v>
      </x:c>
    </x:row>
    <x:row r="14" ht="300" hidden="0" customHeight="1">
      <x:c r="A14" s="77" t="s">
        <x:v>1473</x:v>
      </x:c>
      <x:c r="B14" s="73" t="s">
        <x:v>1504</x:v>
      </x:c>
      <x:c r="C14" s="74" t="s">
        <x:v>1505</x:v>
      </x:c>
      <x:c r="D14" s="74" t="s">
        <x:v>1506</x:v>
      </x:c>
      <x:c r="E14" s="74" t="s">
        <x:v>1456</x:v>
      </x:c>
      <x:c r="F14" s="74" t="s">
        <x:v>430</x:v>
      </x:c>
      <x:c r="G14" s="74" t="s">
        <x:v>1507</x:v>
      </x:c>
      <x:c r="H14" s="74" t="s">
        <x:v>176</x:v>
      </x:c>
      <x:c r="I14" s="74" t="s">
        <x:v>309</x:v>
      </x:c>
      <x:c r="J14" s="75"/>
      <x:c r="K14" s="74"/>
      <x:c r="L14" s="74"/>
      <x:c r="M14" s="74"/>
      <x:c r="N14" s="74"/>
      <x:c r="O14" s="75" t="n">
        <x:v>4</x:v>
      </x:c>
      <x:c r="P14" s="75" t="str">
        <x:f aca="0">IF(J14="","",O14*J14)</x:f>
      </x:c>
      <x:c r="Q14" s="74" t="s">
        <x:v>1161</x:v>
      </x:c>
      <x:c r="R14" s="74" t="s">
        <x:v>1508</x:v>
      </x:c>
      <x:c r="S14" s="76" t="s">
        <x:v>1509</x:v>
      </x:c>
      <x:c r="T14" s="76" t="s">
        <x:v>1495</x:v>
      </x:c>
      <x:c r="U14" s="74" t="s">
        <x:v>1048</x:v>
      </x:c>
      <x:c r="V14" s="5" t="s">
        <x:v>312</x:v>
      </x:c>
      <x:c r="W14" s="5" t="s">
        <x:v>312</x:v>
      </x:c>
      <x:c r="X14" s="5" t="s">
        <x:v>1510</x:v>
      </x:c>
      <x:c r="Y14" s="5" t="s">
        <x:v>1101</x:v>
      </x:c>
      <x:c r="Z14" s="5" t="s">
        <x:v>1102</x:v>
      </x:c>
      <x:c r="AA14" s="5" t="s">
        <x:v>1103</x:v>
      </x:c>
      <x:c r="AB14" s="5" t="s">
        <x:v>1104</x:v>
      </x:c>
      <x:c r="AC14" s="5" t="s">
        <x:v>1497</x:v>
      </x:c>
    </x:row>
    <x:row r="15" ht="285" hidden="0" customHeight="1">
      <x:c r="A15" s="77" t="s">
        <x:v>1473</x:v>
      </x:c>
      <x:c r="B15" s="73" t="s">
        <x:v>1511</x:v>
      </x:c>
      <x:c r="C15" s="74" t="s">
        <x:v>1512</x:v>
      </x:c>
      <x:c r="D15" s="74" t="s">
        <x:v>1513</x:v>
      </x:c>
      <x:c r="E15" s="74" t="s">
        <x:v>1456</x:v>
      </x:c>
      <x:c r="F15" s="74" t="s">
        <x:v>430</x:v>
      </x:c>
      <x:c r="G15" s="74" t="s">
        <x:v>1514</x:v>
      </x:c>
      <x:c r="H15" s="74" t="s">
        <x:v>176</x:v>
      </x:c>
      <x:c r="I15" s="74" t="s">
        <x:v>309</x:v>
      </x:c>
      <x:c r="J15" s="75"/>
      <x:c r="K15" s="74"/>
      <x:c r="L15" s="74"/>
      <x:c r="M15" s="74"/>
      <x:c r="N15" s="74"/>
      <x:c r="O15" s="75" t="n">
        <x:v>4</x:v>
      </x:c>
      <x:c r="P15" s="75" t="str">
        <x:f aca="0">IF(J15="","",O15*J15)</x:f>
      </x:c>
      <x:c r="Q15" s="74" t="s">
        <x:v>398</x:v>
      </x:c>
      <x:c r="R15" s="74" t="s">
        <x:v>1515</x:v>
      </x:c>
      <x:c r="S15" s="76" t="s">
        <x:v>1516</x:v>
      </x:c>
      <x:c r="T15" s="76" t="s">
        <x:v>458</x:v>
      </x:c>
      <x:c r="U15" s="74" t="s">
        <x:v>1176</x:v>
      </x:c>
      <x:c r="V15" s="5" t="s">
        <x:v>312</x:v>
      </x:c>
      <x:c r="W15" s="5" t="s">
        <x:v>312</x:v>
      </x:c>
      <x:c r="X15" s="5" t="s">
        <x:v>1517</x:v>
      </x:c>
      <x:c r="Y15" s="5" t="s">
        <x:v>460</x:v>
      </x:c>
      <x:c r="Z15" s="5" t="s">
        <x:v>461</x:v>
      </x:c>
      <x:c r="AA15" s="5" t="s">
        <x:v>462</x:v>
      </x:c>
      <x:c r="AB15" s="5" t="s">
        <x:v>463</x:v>
      </x:c>
      <x:c r="AC15" s="5" t="s">
        <x:v>464</x:v>
      </x:c>
    </x:row>
    <x:row r="16" ht="300" hidden="0" customHeight="1">
      <x:c r="A16" s="77" t="s">
        <x:v>1473</x:v>
      </x:c>
      <x:c r="B16" s="73" t="s">
        <x:v>1518</x:v>
      </x:c>
      <x:c r="C16" s="74" t="s">
        <x:v>1519</x:v>
      </x:c>
      <x:c r="D16" s="74" t="s">
        <x:v>1520</x:v>
      </x:c>
      <x:c r="E16" s="74" t="s">
        <x:v>1521</x:v>
      </x:c>
      <x:c r="F16" s="74" t="s">
        <x:v>1522</x:v>
      </x:c>
      <x:c r="G16" s="74" t="s">
        <x:v>1523</x:v>
      </x:c>
      <x:c r="H16" s="74" t="s">
        <x:v>99</x:v>
      </x:c>
      <x:c r="I16" s="74" t="s">
        <x:v>309</x:v>
      </x:c>
      <x:c r="J16" s="75"/>
      <x:c r="K16" s="74"/>
      <x:c r="L16" s="74"/>
      <x:c r="M16" s="74"/>
      <x:c r="N16" s="74"/>
      <x:c r="O16" s="75" t="n">
        <x:v>3</x:v>
      </x:c>
      <x:c r="P16" s="75" t="str">
        <x:f aca="0">IF(J16="","",O16*J16)</x:f>
      </x:c>
      <x:c r="Q16" s="74" t="s">
        <x:v>398</x:v>
      </x:c>
      <x:c r="R16" s="74" t="s">
        <x:v>1524</x:v>
      </x:c>
      <x:c r="S16" s="76" t="s">
        <x:v>1525</x:v>
      </x:c>
      <x:c r="T16" s="76" t="s">
        <x:v>335</x:v>
      </x:c>
      <x:c r="U16" s="74" t="s">
        <x:v>1067</x:v>
      </x:c>
      <x:c r="V16" s="5" t="s">
        <x:v>312</x:v>
      </x:c>
      <x:c r="W16" s="5" t="s">
        <x:v>312</x:v>
      </x:c>
      <x:c r="X16" s="5" t="s">
        <x:v>1526</x:v>
      </x:c>
      <x:c r="Y16" s="5" t="s">
        <x:v>337</x:v>
      </x:c>
      <x:c r="Z16" s="5" t="s">
        <x:v>338</x:v>
      </x:c>
      <x:c r="AA16" s="5" t="s">
        <x:v>339</x:v>
      </x:c>
      <x:c r="AB16" s="5" t="s">
        <x:v>340</x:v>
      </x:c>
      <x:c r="AC16" s="5" t="s">
        <x:v>341</x:v>
      </x:c>
    </x:row>
    <x:row r="17" ht="300" hidden="0" customHeight="1">
      <x:c r="A17" s="78" t="s">
        <x:v>1527</x:v>
      </x:c>
      <x:c r="B17" s="73" t="s">
        <x:v>1528</x:v>
      </x:c>
      <x:c r="C17" s="74" t="s">
        <x:v>1529</x:v>
      </x:c>
      <x:c r="D17" s="74" t="s">
        <x:v>1530</x:v>
      </x:c>
      <x:c r="E17" s="74" t="s">
        <x:v>1440</x:v>
      </x:c>
      <x:c r="F17" s="74" t="s">
        <x:v>430</x:v>
      </x:c>
      <x:c r="G17" s="74" t="s">
        <x:v>1448</x:v>
      </x:c>
      <x:c r="H17" s="74" t="s">
        <x:v>1449</x:v>
      </x:c>
      <x:c r="I17" s="74" t="s">
        <x:v>309</x:v>
      </x:c>
      <x:c r="J17" s="75"/>
      <x:c r="K17" s="74"/>
      <x:c r="L17" s="74"/>
      <x:c r="M17" s="74"/>
      <x:c r="N17" s="74"/>
      <x:c r="O17" s="75" t="n">
        <x:v>5</x:v>
      </x:c>
      <x:c r="P17" s="75" t="str">
        <x:f aca="0">IF(J17="","",O17*J17)</x:f>
      </x:c>
      <x:c r="Q17" s="74" t="s">
        <x:v>445</x:v>
      </x:c>
      <x:c r="R17" s="74" t="s">
        <x:v>1531</x:v>
      </x:c>
      <x:c r="S17" s="76" t="s">
        <x:v>1532</x:v>
      </x:c>
      <x:c r="T17" s="76" t="s">
        <x:v>530</x:v>
      </x:c>
      <x:c r="U17" s="74" t="s">
        <x:v>1533</x:v>
      </x:c>
      <x:c r="V17" s="5" t="s">
        <x:v>312</x:v>
      </x:c>
      <x:c r="W17" s="5" t="s">
        <x:v>312</x:v>
      </x:c>
      <x:c r="X17" s="5" t="s">
        <x:v>1534</x:v>
      </x:c>
      <x:c r="Y17" s="5" t="s">
        <x:v>532</x:v>
      </x:c>
      <x:c r="Z17" s="5" t="s">
        <x:v>533</x:v>
      </x:c>
      <x:c r="AA17" s="5" t="s">
        <x:v>534</x:v>
      </x:c>
      <x:c r="AB17" s="5" t="s">
        <x:v>535</x:v>
      </x:c>
      <x:c r="AC17" s="5" t="s">
        <x:v>536</x:v>
      </x:c>
    </x:row>
    <x:row r="18" ht="300" hidden="0" customHeight="1">
      <x:c r="A18" s="78" t="s">
        <x:v>1527</x:v>
      </x:c>
      <x:c r="B18" s="73" t="s">
        <x:v>1535</x:v>
      </x:c>
      <x:c r="C18" s="74" t="s">
        <x:v>1536</x:v>
      </x:c>
      <x:c r="D18" s="74" t="s">
        <x:v>1537</x:v>
      </x:c>
      <x:c r="E18" s="74" t="s">
        <x:v>1440</x:v>
      </x:c>
      <x:c r="F18" s="74" t="s">
        <x:v>430</x:v>
      </x:c>
      <x:c r="G18" s="74" t="s">
        <x:v>1448</x:v>
      </x:c>
      <x:c r="H18" s="74" t="s">
        <x:v>1449</x:v>
      </x:c>
      <x:c r="I18" s="74" t="s">
        <x:v>309</x:v>
      </x:c>
      <x:c r="J18" s="75"/>
      <x:c r="K18" s="74"/>
      <x:c r="L18" s="74"/>
      <x:c r="M18" s="74"/>
      <x:c r="N18" s="74"/>
      <x:c r="O18" s="75" t="n">
        <x:v>4</x:v>
      </x:c>
      <x:c r="P18" s="75" t="str">
        <x:f aca="0">IF(J18="","",O18*J18)</x:f>
      </x:c>
      <x:c r="Q18" s="74" t="s">
        <x:v>445</x:v>
      </x:c>
      <x:c r="R18" s="74" t="s">
        <x:v>1538</x:v>
      </x:c>
      <x:c r="S18" s="76" t="s">
        <x:v>1539</x:v>
      </x:c>
      <x:c r="T18" s="76" t="s">
        <x:v>383</x:v>
      </x:c>
      <x:c r="U18" s="74" t="s">
        <x:v>1533</x:v>
      </x:c>
      <x:c r="V18" s="5" t="s">
        <x:v>312</x:v>
      </x:c>
      <x:c r="W18" s="5" t="s">
        <x:v>312</x:v>
      </x:c>
      <x:c r="X18" s="5" t="s">
        <x:v>1540</x:v>
      </x:c>
      <x:c r="Y18" s="5" t="s">
        <x:v>385</x:v>
      </x:c>
      <x:c r="Z18" s="5" t="s">
        <x:v>386</x:v>
      </x:c>
      <x:c r="AA18" s="5" t="s">
        <x:v>387</x:v>
      </x:c>
      <x:c r="AB18" s="5" t="s">
        <x:v>388</x:v>
      </x:c>
      <x:c r="AC18" s="5" t="s">
        <x:v>389</x:v>
      </x:c>
    </x:row>
    <x:row r="19" ht="300" hidden="0" customHeight="1">
      <x:c r="A19" s="78" t="s">
        <x:v>1527</x:v>
      </x:c>
      <x:c r="B19" s="73" t="s">
        <x:v>1541</x:v>
      </x:c>
      <x:c r="C19" s="74" t="s">
        <x:v>1542</x:v>
      </x:c>
      <x:c r="D19" s="74" t="s">
        <x:v>1543</x:v>
      </x:c>
      <x:c r="E19" s="74" t="s">
        <x:v>1440</x:v>
      </x:c>
      <x:c r="F19" s="74" t="s">
        <x:v>430</x:v>
      </x:c>
      <x:c r="G19" s="74" t="s">
        <x:v>1544</x:v>
      </x:c>
      <x:c r="H19" s="74" t="s">
        <x:v>1449</x:v>
      </x:c>
      <x:c r="I19" s="74" t="s">
        <x:v>309</x:v>
      </x:c>
      <x:c r="J19" s="75"/>
      <x:c r="K19" s="74"/>
      <x:c r="L19" s="74"/>
      <x:c r="M19" s="74"/>
      <x:c r="N19" s="74"/>
      <x:c r="O19" s="75" t="n">
        <x:v>4</x:v>
      </x:c>
      <x:c r="P19" s="75" t="str">
        <x:f aca="0">IF(J19="","",O19*J19)</x:f>
      </x:c>
      <x:c r="Q19" s="74" t="s">
        <x:v>445</x:v>
      </x:c>
      <x:c r="R19" s="74" t="s">
        <x:v>1545</x:v>
      </x:c>
      <x:c r="S19" s="76" t="s">
        <x:v>1546</x:v>
      </x:c>
      <x:c r="T19" s="76" t="s">
        <x:v>530</x:v>
      </x:c>
      <x:c r="U19" s="74" t="s">
        <x:v>1533</x:v>
      </x:c>
      <x:c r="V19" s="5" t="s">
        <x:v>312</x:v>
      </x:c>
      <x:c r="W19" s="5" t="s">
        <x:v>312</x:v>
      </x:c>
      <x:c r="X19" s="5" t="s">
        <x:v>1547</x:v>
      </x:c>
      <x:c r="Y19" s="5" t="s">
        <x:v>532</x:v>
      </x:c>
      <x:c r="Z19" s="5" t="s">
        <x:v>533</x:v>
      </x:c>
      <x:c r="AA19" s="5" t="s">
        <x:v>534</x:v>
      </x:c>
      <x:c r="AB19" s="5" t="s">
        <x:v>535</x:v>
      </x:c>
      <x:c r="AC19" s="5" t="s">
        <x:v>536</x:v>
      </x:c>
    </x:row>
    <x:row r="20" ht="285" hidden="0" customHeight="1">
      <x:c r="A20" s="78" t="s">
        <x:v>1527</x:v>
      </x:c>
      <x:c r="B20" s="73" t="s">
        <x:v>1548</x:v>
      </x:c>
      <x:c r="C20" s="74" t="s">
        <x:v>1549</x:v>
      </x:c>
      <x:c r="D20" s="74" t="s">
        <x:v>1550</x:v>
      </x:c>
      <x:c r="E20" s="74" t="s">
        <x:v>1440</x:v>
      </x:c>
      <x:c r="F20" s="74" t="s">
        <x:v>430</x:v>
      </x:c>
      <x:c r="G20" s="74" t="s">
        <x:v>1551</x:v>
      </x:c>
      <x:c r="H20" s="74" t="s">
        <x:v>1449</x:v>
      </x:c>
      <x:c r="I20" s="74" t="s">
        <x:v>309</x:v>
      </x:c>
      <x:c r="J20" s="75"/>
      <x:c r="K20" s="74"/>
      <x:c r="L20" s="74"/>
      <x:c r="M20" s="74"/>
      <x:c r="N20" s="74"/>
      <x:c r="O20" s="75" t="n">
        <x:v>3</x:v>
      </x:c>
      <x:c r="P20" s="75" t="str">
        <x:f aca="0">IF(J20="","",O20*J20)</x:f>
      </x:c>
      <x:c r="Q20" s="74" t="s">
        <x:v>445</x:v>
      </x:c>
      <x:c r="R20" s="74"/>
      <x:c r="S20" s="76" t="s">
        <x:v>1552</x:v>
      </x:c>
      <x:c r="T20" s="76" t="s">
        <x:v>458</x:v>
      </x:c>
      <x:c r="U20" s="74" t="s">
        <x:v>1067</x:v>
      </x:c>
      <x:c r="V20" s="5" t="s">
        <x:v>312</x:v>
      </x:c>
      <x:c r="W20" s="5" t="s">
        <x:v>312</x:v>
      </x:c>
      <x:c r="X20" s="5" t="s">
        <x:v>1553</x:v>
      </x:c>
      <x:c r="Y20" s="5" t="s">
        <x:v>460</x:v>
      </x:c>
      <x:c r="Z20" s="5" t="s">
        <x:v>461</x:v>
      </x:c>
      <x:c r="AA20" s="5" t="s">
        <x:v>462</x:v>
      </x:c>
      <x:c r="AB20" s="5" t="s">
        <x:v>463</x:v>
      </x:c>
      <x:c r="AC20" s="5" t="s">
        <x:v>464</x:v>
      </x:c>
    </x:row>
    <x:row r="21" ht="285" hidden="0" customHeight="1">
      <x:c r="A21" s="78" t="s">
        <x:v>1527</x:v>
      </x:c>
      <x:c r="B21" s="73" t="s">
        <x:v>1554</x:v>
      </x:c>
      <x:c r="C21" s="74" t="s">
        <x:v>1555</x:v>
      </x:c>
      <x:c r="D21" s="74" t="s">
        <x:v>1556</x:v>
      </x:c>
      <x:c r="E21" s="74" t="s">
        <x:v>1440</x:v>
      </x:c>
      <x:c r="F21" s="74" t="s">
        <x:v>430</x:v>
      </x:c>
      <x:c r="G21" s="74" t="s">
        <x:v>822</x:v>
      </x:c>
      <x:c r="H21" s="74" t="s">
        <x:v>1449</x:v>
      </x:c>
      <x:c r="I21" s="74" t="s">
        <x:v>309</x:v>
      </x:c>
      <x:c r="J21" s="75"/>
      <x:c r="K21" s="74"/>
      <x:c r="L21" s="74"/>
      <x:c r="M21" s="74"/>
      <x:c r="N21" s="74"/>
      <x:c r="O21" s="75" t="n">
        <x:v>3</x:v>
      </x:c>
      <x:c r="P21" s="75" t="str">
        <x:f aca="0">IF(J21="","",O21*J21)</x:f>
      </x:c>
      <x:c r="Q21" s="74" t="s">
        <x:v>445</x:v>
      </x:c>
      <x:c r="R21" s="74"/>
      <x:c r="S21" s="76" t="s">
        <x:v>1557</x:v>
      </x:c>
      <x:c r="T21" s="76" t="s">
        <x:v>458</x:v>
      </x:c>
      <x:c r="U21" s="74" t="s">
        <x:v>1067</x:v>
      </x:c>
      <x:c r="V21" s="5" t="s">
        <x:v>312</x:v>
      </x:c>
      <x:c r="W21" s="5" t="s">
        <x:v>312</x:v>
      </x:c>
      <x:c r="X21" s="5" t="s">
        <x:v>1558</x:v>
      </x:c>
      <x:c r="Y21" s="5" t="s">
        <x:v>460</x:v>
      </x:c>
      <x:c r="Z21" s="5" t="s">
        <x:v>461</x:v>
      </x:c>
      <x:c r="AA21" s="5" t="s">
        <x:v>462</x:v>
      </x:c>
      <x:c r="AB21" s="5" t="s">
        <x:v>463</x:v>
      </x:c>
      <x:c r="AC21" s="5" t="s">
        <x:v>464</x:v>
      </x:c>
    </x:row>
    <x:row r="22" ht="260.25" hidden="0" customHeight="1">
      <x:c r="A22" s="78" t="s">
        <x:v>1527</x:v>
      </x:c>
      <x:c r="B22" s="73" t="s">
        <x:v>1559</x:v>
      </x:c>
      <x:c r="C22" s="74" t="s">
        <x:v>1560</x:v>
      </x:c>
      <x:c r="D22" s="74" t="s">
        <x:v>1561</x:v>
      </x:c>
      <x:c r="E22" s="74" t="s">
        <x:v>1562</x:v>
      </x:c>
      <x:c r="F22" s="74" t="s">
        <x:v>430</x:v>
      </x:c>
      <x:c r="G22" s="74" t="s">
        <x:v>1563</x:v>
      </x:c>
      <x:c r="H22" s="74" t="s">
        <x:v>1564</x:v>
      </x:c>
      <x:c r="I22" s="74" t="s">
        <x:v>309</x:v>
      </x:c>
      <x:c r="J22" s="75"/>
      <x:c r="K22" s="74"/>
      <x:c r="L22" s="74"/>
      <x:c r="M22" s="74"/>
      <x:c r="N22" s="74"/>
      <x:c r="O22" s="75" t="n">
        <x:v>4</x:v>
      </x:c>
      <x:c r="P22" s="75" t="str">
        <x:f aca="0">IF(J22="","",O22*J22)</x:f>
      </x:c>
      <x:c r="Q22" s="74" t="s">
        <x:v>819</x:v>
      </x:c>
      <x:c r="R22" s="74" t="s">
        <x:v>1565</x:v>
      </x:c>
      <x:c r="S22" s="76" t="s">
        <x:v>1566</x:v>
      </x:c>
      <x:c r="T22" s="76" t="s">
        <x:v>492</x:v>
      </x:c>
      <x:c r="U22" s="74" t="s">
        <x:v>1067</x:v>
      </x:c>
      <x:c r="V22" s="5" t="s">
        <x:v>312</x:v>
      </x:c>
      <x:c r="W22" s="5" t="s">
        <x:v>312</x:v>
      </x:c>
      <x:c r="X22" s="5" t="s">
        <x:v>1567</x:v>
      </x:c>
      <x:c r="Y22" s="5" t="s">
        <x:v>494</x:v>
      </x:c>
      <x:c r="Z22" s="5" t="s">
        <x:v>495</x:v>
      </x:c>
      <x:c r="AA22" s="5" t="s">
        <x:v>496</x:v>
      </x:c>
      <x:c r="AB22" s="5" t="s">
        <x:v>497</x:v>
      </x:c>
      <x:c r="AC22" s="5" t="s">
        <x:v>498</x:v>
      </x:c>
    </x:row>
    <x:row r="23" ht="300" hidden="0" customHeight="1">
      <x:c r="A23" s="78" t="s">
        <x:v>1527</x:v>
      </x:c>
      <x:c r="B23" s="73" t="s">
        <x:v>1568</x:v>
      </x:c>
      <x:c r="C23" s="74" t="s">
        <x:v>1569</x:v>
      </x:c>
      <x:c r="D23" s="74" t="s">
        <x:v>1570</x:v>
      </x:c>
      <x:c r="E23" s="74" t="s">
        <x:v>1440</x:v>
      </x:c>
      <x:c r="F23" s="74" t="s">
        <x:v>430</x:v>
      </x:c>
      <x:c r="G23" s="74" t="s">
        <x:v>1448</x:v>
      </x:c>
      <x:c r="H23" s="74" t="s">
        <x:v>1449</x:v>
      </x:c>
      <x:c r="I23" s="74" t="s">
        <x:v>309</x:v>
      </x:c>
      <x:c r="J23" s="75"/>
      <x:c r="K23" s="74"/>
      <x:c r="L23" s="74"/>
      <x:c r="M23" s="74"/>
      <x:c r="N23" s="74"/>
      <x:c r="O23" s="75" t="n">
        <x:v>5</x:v>
      </x:c>
      <x:c r="P23" s="75" t="str">
        <x:f aca="0">IF(J23="","",O23*J23)</x:f>
      </x:c>
      <x:c r="Q23" s="74" t="s">
        <x:v>445</x:v>
      </x:c>
      <x:c r="R23" s="74" t="s">
        <x:v>1531</x:v>
      </x:c>
      <x:c r="S23" s="76" t="s">
        <x:v>1571</x:v>
      </x:c>
      <x:c r="T23" s="76" t="s">
        <x:v>530</x:v>
      </x:c>
      <x:c r="U23" s="74" t="s">
        <x:v>1533</x:v>
      </x:c>
      <x:c r="V23" s="5" t="s">
        <x:v>312</x:v>
      </x:c>
      <x:c r="W23" s="5" t="s">
        <x:v>312</x:v>
      </x:c>
      <x:c r="X23" s="5" t="s">
        <x:v>1572</x:v>
      </x:c>
      <x:c r="Y23" s="5" t="s">
        <x:v>532</x:v>
      </x:c>
      <x:c r="Z23" s="5" t="s">
        <x:v>533</x:v>
      </x:c>
      <x:c r="AA23" s="5" t="s">
        <x:v>534</x:v>
      </x:c>
      <x:c r="AB23" s="5" t="s">
        <x:v>535</x:v>
      </x:c>
      <x:c r="AC23" s="5" t="s">
        <x:v>536</x:v>
      </x:c>
    </x:row>
    <x:row r="24" ht="285" hidden="0" customHeight="1">
      <x:c r="A24" s="78" t="s">
        <x:v>1527</x:v>
      </x:c>
      <x:c r="B24" s="73" t="s">
        <x:v>1573</x:v>
      </x:c>
      <x:c r="C24" s="74" t="s">
        <x:v>1574</x:v>
      </x:c>
      <x:c r="D24" s="74" t="s">
        <x:v>1575</x:v>
      </x:c>
      <x:c r="E24" s="74" t="s">
        <x:v>1440</x:v>
      </x:c>
      <x:c r="F24" s="74" t="s">
        <x:v>430</x:v>
      </x:c>
      <x:c r="G24" s="74" t="s">
        <x:v>1576</x:v>
      </x:c>
      <x:c r="H24" s="74" t="s">
        <x:v>1577</x:v>
      </x:c>
      <x:c r="I24" s="74" t="s">
        <x:v>309</x:v>
      </x:c>
      <x:c r="J24" s="75"/>
      <x:c r="K24" s="74"/>
      <x:c r="L24" s="74"/>
      <x:c r="M24" s="74"/>
      <x:c r="N24" s="74"/>
      <x:c r="O24" s="75" t="n">
        <x:v>5</x:v>
      </x:c>
      <x:c r="P24" s="75" t="str">
        <x:f aca="0">IF(J24="","",O24*J24)</x:f>
      </x:c>
      <x:c r="Q24" s="74" t="s">
        <x:v>828</x:v>
      </x:c>
      <x:c r="R24" s="74"/>
      <x:c r="S24" s="76" t="s">
        <x:v>1578</x:v>
      </x:c>
      <x:c r="T24" s="76" t="s">
        <x:v>458</x:v>
      </x:c>
      <x:c r="U24" s="74" t="s">
        <x:v>1122</x:v>
      </x:c>
      <x:c r="V24" s="5" t="s">
        <x:v>312</x:v>
      </x:c>
      <x:c r="W24" s="5" t="s">
        <x:v>312</x:v>
      </x:c>
      <x:c r="X24" s="5" t="s">
        <x:v>1579</x:v>
      </x:c>
      <x:c r="Y24" s="5" t="s">
        <x:v>460</x:v>
      </x:c>
      <x:c r="Z24" s="5" t="s">
        <x:v>461</x:v>
      </x:c>
      <x:c r="AA24" s="5" t="s">
        <x:v>462</x:v>
      </x:c>
      <x:c r="AB24" s="5" t="s">
        <x:v>463</x:v>
      </x:c>
      <x:c r="AC24" s="5" t="s">
        <x:v>464</x:v>
      </x:c>
    </x:row>
    <x:row r="25" ht="285" hidden="0" customHeight="1">
      <x:c r="A25" s="78" t="s">
        <x:v>1527</x:v>
      </x:c>
      <x:c r="B25" s="73" t="s">
        <x:v>1580</x:v>
      </x:c>
      <x:c r="C25" s="74" t="s">
        <x:v>1581</x:v>
      </x:c>
      <x:c r="D25" s="74" t="s">
        <x:v>1582</x:v>
      </x:c>
      <x:c r="E25" s="74" t="s">
        <x:v>1440</x:v>
      </x:c>
      <x:c r="F25" s="74" t="s">
        <x:v>430</x:v>
      </x:c>
      <x:c r="G25" s="74" t="s">
        <x:v>1583</x:v>
      </x:c>
      <x:c r="H25" s="74" t="s">
        <x:v>1577</x:v>
      </x:c>
      <x:c r="I25" s="74" t="s">
        <x:v>309</x:v>
      </x:c>
      <x:c r="J25" s="75"/>
      <x:c r="K25" s="74"/>
      <x:c r="L25" s="74"/>
      <x:c r="M25" s="74"/>
      <x:c r="N25" s="74"/>
      <x:c r="O25" s="75" t="n">
        <x:v>4</x:v>
      </x:c>
      <x:c r="P25" s="75" t="str">
        <x:f aca="0">IF(J25="","",O25*J25)</x:f>
      </x:c>
      <x:c r="Q25" s="74" t="s">
        <x:v>828</x:v>
      </x:c>
      <x:c r="R25" s="74" t="s">
        <x:v>1584</x:v>
      </x:c>
      <x:c r="S25" s="76" t="s">
        <x:v>1585</x:v>
      </x:c>
      <x:c r="T25" s="76" t="s">
        <x:v>458</x:v>
      </x:c>
      <x:c r="U25" s="74" t="s">
        <x:v>1586</x:v>
      </x:c>
      <x:c r="V25" s="5" t="s">
        <x:v>312</x:v>
      </x:c>
      <x:c r="W25" s="5" t="s">
        <x:v>312</x:v>
      </x:c>
      <x:c r="X25" s="5" t="s">
        <x:v>1587</x:v>
      </x:c>
      <x:c r="Y25" s="5" t="s">
        <x:v>460</x:v>
      </x:c>
      <x:c r="Z25" s="5" t="s">
        <x:v>461</x:v>
      </x:c>
      <x:c r="AA25" s="5" t="s">
        <x:v>462</x:v>
      </x:c>
      <x:c r="AB25" s="5" t="s">
        <x:v>463</x:v>
      </x:c>
      <x:c r="AC25" s="5" t="s">
        <x:v>464</x:v>
      </x:c>
    </x:row>
    <x:row r="26" ht="300" hidden="0" customHeight="1">
      <x:c r="A26" s="78" t="s">
        <x:v>1527</x:v>
      </x:c>
      <x:c r="B26" s="73" t="s">
        <x:v>1588</x:v>
      </x:c>
      <x:c r="C26" s="74" t="s">
        <x:v>1589</x:v>
      </x:c>
      <x:c r="D26" s="74" t="s">
        <x:v>1590</x:v>
      </x:c>
      <x:c r="E26" s="74" t="s">
        <x:v>1562</x:v>
      </x:c>
      <x:c r="F26" s="74" t="s">
        <x:v>430</x:v>
      </x:c>
      <x:c r="G26" s="74" t="s">
        <x:v>1591</x:v>
      </x:c>
      <x:c r="H26" s="74" t="s">
        <x:v>146</x:v>
      </x:c>
      <x:c r="I26" s="74" t="s">
        <x:v>309</x:v>
      </x:c>
      <x:c r="J26" s="75"/>
      <x:c r="K26" s="74"/>
      <x:c r="L26" s="74"/>
      <x:c r="M26" s="74"/>
      <x:c r="N26" s="74"/>
      <x:c r="O26" s="75" t="n">
        <x:v>4</x:v>
      </x:c>
      <x:c r="P26" s="75" t="str">
        <x:f aca="0">IF(J26="","",O26*J26)</x:f>
      </x:c>
      <x:c r="Q26" s="74" t="s">
        <x:v>468</x:v>
      </x:c>
      <x:c r="R26" s="74"/>
      <x:c r="S26" s="76" t="s">
        <x:v>1592</x:v>
      </x:c>
      <x:c r="T26" s="76" t="s">
        <x:v>400</x:v>
      </x:c>
      <x:c r="U26" s="74" t="s">
        <x:v>1186</x:v>
      </x:c>
      <x:c r="V26" s="5" t="s">
        <x:v>312</x:v>
      </x:c>
      <x:c r="W26" s="5" t="s">
        <x:v>312</x:v>
      </x:c>
      <x:c r="X26" s="5" t="s">
        <x:v>1593</x:v>
      </x:c>
      <x:c r="Y26" s="5" t="s">
        <x:v>402</x:v>
      </x:c>
      <x:c r="Z26" s="5" t="s">
        <x:v>403</x:v>
      </x:c>
      <x:c r="AA26" s="5" t="s">
        <x:v>404</x:v>
      </x:c>
      <x:c r="AB26" s="5" t="s">
        <x:v>405</x:v>
      </x:c>
      <x:c r="AC26" s="5" t="s">
        <x:v>406</x:v>
      </x:c>
    </x:row>
    <x:row r="27" ht="297" hidden="0" customHeight="1">
      <x:c r="A27" s="78" t="s">
        <x:v>1527</x:v>
      </x:c>
      <x:c r="B27" s="73" t="s">
        <x:v>1594</x:v>
      </x:c>
      <x:c r="C27" s="74" t="s">
        <x:v>1595</x:v>
      </x:c>
      <x:c r="D27" s="74" t="s">
        <x:v>1596</x:v>
      </x:c>
      <x:c r="E27" s="74" t="s">
        <x:v>1562</x:v>
      </x:c>
      <x:c r="F27" s="74" t="s">
        <x:v>430</x:v>
      </x:c>
      <x:c r="G27" s="74" t="s">
        <x:v>1597</x:v>
      </x:c>
      <x:c r="H27" s="74" t="s">
        <x:v>1564</x:v>
      </x:c>
      <x:c r="I27" s="74" t="s">
        <x:v>309</x:v>
      </x:c>
      <x:c r="J27" s="75"/>
      <x:c r="K27" s="74"/>
      <x:c r="L27" s="74"/>
      <x:c r="M27" s="74"/>
      <x:c r="N27" s="74"/>
      <x:c r="O27" s="75" t="n">
        <x:v>5</x:v>
      </x:c>
      <x:c r="P27" s="75" t="str">
        <x:f aca="0">IF(J27="","",O27*J27)</x:f>
      </x:c>
      <x:c r="Q27" s="74" t="s">
        <x:v>863</x:v>
      </x:c>
      <x:c r="R27" s="74" t="s">
        <x:v>1598</x:v>
      </x:c>
      <x:c r="S27" s="76" t="s">
        <x:v>1599</x:v>
      </x:c>
      <x:c r="T27" s="76" t="s">
        <x:v>476</x:v>
      </x:c>
      <x:c r="U27" s="74" t="s">
        <x:v>1600</x:v>
      </x:c>
      <x:c r="V27" s="5" t="s">
        <x:v>312</x:v>
      </x:c>
      <x:c r="W27" s="5" t="s">
        <x:v>312</x:v>
      </x:c>
      <x:c r="X27" s="5" t="s">
        <x:v>1601</x:v>
      </x:c>
      <x:c r="Y27" s="5" t="s">
        <x:v>478</x:v>
      </x:c>
      <x:c r="Z27" s="5" t="s">
        <x:v>479</x:v>
      </x:c>
      <x:c r="AA27" s="5" t="s">
        <x:v>480</x:v>
      </x:c>
      <x:c r="AB27" s="5" t="s">
        <x:v>481</x:v>
      </x:c>
      <x:c r="AC27" s="5" t="s">
        <x:v>482</x:v>
      </x:c>
    </x:row>
    <x:row r="28" ht="297" hidden="0" customHeight="1">
      <x:c r="A28" s="78" t="s">
        <x:v>1527</x:v>
      </x:c>
      <x:c r="B28" s="73" t="s">
        <x:v>1602</x:v>
      </x:c>
      <x:c r="C28" s="74" t="s">
        <x:v>1603</x:v>
      </x:c>
      <x:c r="D28" s="74" t="s">
        <x:v>1604</x:v>
      </x:c>
      <x:c r="E28" s="74" t="s">
        <x:v>1562</x:v>
      </x:c>
      <x:c r="F28" s="74" t="s">
        <x:v>430</x:v>
      </x:c>
      <x:c r="G28" s="74" t="s">
        <x:v>1605</x:v>
      </x:c>
      <x:c r="H28" s="74" t="s">
        <x:v>1564</x:v>
      </x:c>
      <x:c r="I28" s="74" t="s">
        <x:v>309</x:v>
      </x:c>
      <x:c r="J28" s="75"/>
      <x:c r="K28" s="74"/>
      <x:c r="L28" s="74"/>
      <x:c r="M28" s="74"/>
      <x:c r="N28" s="74"/>
      <x:c r="O28" s="75" t="n">
        <x:v>4</x:v>
      </x:c>
      <x:c r="P28" s="75" t="str">
        <x:f aca="0">IF(J28="","",O28*J28)</x:f>
      </x:c>
      <x:c r="Q28" s="74" t="s">
        <x:v>863</x:v>
      </x:c>
      <x:c r="R28" s="74" t="s">
        <x:v>1598</x:v>
      </x:c>
      <x:c r="S28" s="76" t="s">
        <x:v>1606</x:v>
      </x:c>
      <x:c r="T28" s="76" t="s">
        <x:v>476</x:v>
      </x:c>
      <x:c r="U28" s="74" t="s">
        <x:v>1607</x:v>
      </x:c>
      <x:c r="V28" s="5" t="s">
        <x:v>312</x:v>
      </x:c>
      <x:c r="W28" s="5" t="s">
        <x:v>312</x:v>
      </x:c>
      <x:c r="X28" s="5" t="s">
        <x:v>1608</x:v>
      </x:c>
      <x:c r="Y28" s="5" t="s">
        <x:v>478</x:v>
      </x:c>
      <x:c r="Z28" s="5" t="s">
        <x:v>479</x:v>
      </x:c>
      <x:c r="AA28" s="5" t="s">
        <x:v>480</x:v>
      </x:c>
      <x:c r="AB28" s="5" t="s">
        <x:v>481</x:v>
      </x:c>
      <x:c r="AC28" s="5" t="s">
        <x:v>482</x:v>
      </x:c>
    </x:row>
    <x:row r="29" ht="260.25" hidden="0" customHeight="1">
      <x:c r="A29" s="78" t="s">
        <x:v>1527</x:v>
      </x:c>
      <x:c r="B29" s="73" t="s">
        <x:v>1609</x:v>
      </x:c>
      <x:c r="C29" s="74" t="s">
        <x:v>1610</x:v>
      </x:c>
      <x:c r="D29" s="74" t="s">
        <x:v>1611</x:v>
      </x:c>
      <x:c r="E29" s="74" t="s">
        <x:v>1562</x:v>
      </x:c>
      <x:c r="F29" s="74" t="s">
        <x:v>430</x:v>
      </x:c>
      <x:c r="G29" s="74" t="s">
        <x:v>1612</x:v>
      </x:c>
      <x:c r="H29" s="74" t="s">
        <x:v>1564</x:v>
      </x:c>
      <x:c r="I29" s="74" t="s">
        <x:v>309</x:v>
      </x:c>
      <x:c r="J29" s="75"/>
      <x:c r="K29" s="74"/>
      <x:c r="L29" s="74"/>
      <x:c r="M29" s="74"/>
      <x:c r="N29" s="74"/>
      <x:c r="O29" s="75" t="n">
        <x:v>4</x:v>
      </x:c>
      <x:c r="P29" s="75" t="str">
        <x:f aca="0">IF(J29="","",O29*J29)</x:f>
      </x:c>
      <x:c r="Q29" s="74" t="s">
        <x:v>863</x:v>
      </x:c>
      <x:c r="R29" s="74" t="s">
        <x:v>1613</x:v>
      </x:c>
      <x:c r="S29" s="76" t="s">
        <x:v>1614</x:v>
      </x:c>
      <x:c r="T29" s="76" t="s">
        <x:v>492</x:v>
      </x:c>
      <x:c r="U29" s="74" t="s">
        <x:v>1067</x:v>
      </x:c>
      <x:c r="V29" s="5" t="s">
        <x:v>312</x:v>
      </x:c>
      <x:c r="W29" s="5" t="s">
        <x:v>312</x:v>
      </x:c>
      <x:c r="X29" s="5" t="s">
        <x:v>1615</x:v>
      </x:c>
      <x:c r="Y29" s="5" t="s">
        <x:v>494</x:v>
      </x:c>
      <x:c r="Z29" s="5" t="s">
        <x:v>495</x:v>
      </x:c>
      <x:c r="AA29" s="5" t="s">
        <x:v>496</x:v>
      </x:c>
      <x:c r="AB29" s="5" t="s">
        <x:v>497</x:v>
      </x:c>
      <x:c r="AC29" s="5" t="s">
        <x:v>498</x:v>
      </x:c>
    </x:row>
    <x:row r="30" ht="297" hidden="0" customHeight="1">
      <x:c r="A30" s="78" t="s">
        <x:v>1527</x:v>
      </x:c>
      <x:c r="B30" s="73" t="s">
        <x:v>1616</x:v>
      </x:c>
      <x:c r="C30" s="74" t="s">
        <x:v>1617</x:v>
      </x:c>
      <x:c r="D30" s="74" t="s">
        <x:v>1618</x:v>
      </x:c>
      <x:c r="E30" s="74" t="s">
        <x:v>1562</x:v>
      </x:c>
      <x:c r="F30" s="74" t="s">
        <x:v>430</x:v>
      </x:c>
      <x:c r="G30" s="74" t="s">
        <x:v>1619</x:v>
      </x:c>
      <x:c r="H30" s="74" t="s">
        <x:v>1564</x:v>
      </x:c>
      <x:c r="I30" s="74" t="s">
        <x:v>309</x:v>
      </x:c>
      <x:c r="J30" s="75"/>
      <x:c r="K30" s="74"/>
      <x:c r="L30" s="74"/>
      <x:c r="M30" s="74"/>
      <x:c r="N30" s="74"/>
      <x:c r="O30" s="75" t="n">
        <x:v>4</x:v>
      </x:c>
      <x:c r="P30" s="75" t="str">
        <x:f aca="0">IF(J30="","",O30*J30)</x:f>
      </x:c>
      <x:c r="Q30" s="74" t="s">
        <x:v>863</x:v>
      </x:c>
      <x:c r="R30" s="74" t="s">
        <x:v>1620</x:v>
      </x:c>
      <x:c r="S30" s="76" t="s">
        <x:v>1621</x:v>
      </x:c>
      <x:c r="T30" s="76" t="s">
        <x:v>476</x:v>
      </x:c>
      <x:c r="U30" s="74" t="s">
        <x:v>1067</x:v>
      </x:c>
      <x:c r="V30" s="5" t="s">
        <x:v>312</x:v>
      </x:c>
      <x:c r="W30" s="5" t="s">
        <x:v>312</x:v>
      </x:c>
      <x:c r="X30" s="5" t="s">
        <x:v>1622</x:v>
      </x:c>
      <x:c r="Y30" s="5" t="s">
        <x:v>478</x:v>
      </x:c>
      <x:c r="Z30" s="5" t="s">
        <x:v>479</x:v>
      </x:c>
      <x:c r="AA30" s="5" t="s">
        <x:v>480</x:v>
      </x:c>
      <x:c r="AB30" s="5" t="s">
        <x:v>481</x:v>
      </x:c>
      <x:c r="AC30" s="5" t="s">
        <x:v>482</x:v>
      </x:c>
    </x:row>
    <x:row r="31" ht="300" hidden="0" customHeight="1">
      <x:c r="A31" s="78" t="s">
        <x:v>1527</x:v>
      </x:c>
      <x:c r="B31" s="73" t="s">
        <x:v>1623</x:v>
      </x:c>
      <x:c r="C31" s="74" t="s">
        <x:v>1624</x:v>
      </x:c>
      <x:c r="D31" s="74" t="s">
        <x:v>1625</x:v>
      </x:c>
      <x:c r="E31" s="74" t="s">
        <x:v>1562</x:v>
      </x:c>
      <x:c r="F31" s="74" t="s">
        <x:v>430</x:v>
      </x:c>
      <x:c r="G31" s="74" t="s">
        <x:v>1626</x:v>
      </x:c>
      <x:c r="H31" s="74" t="s">
        <x:v>1564</x:v>
      </x:c>
      <x:c r="I31" s="74" t="s">
        <x:v>309</x:v>
      </x:c>
      <x:c r="J31" s="75"/>
      <x:c r="K31" s="74"/>
      <x:c r="L31" s="74"/>
      <x:c r="M31" s="74"/>
      <x:c r="N31" s="74"/>
      <x:c r="O31" s="75" t="n">
        <x:v>4</x:v>
      </x:c>
      <x:c r="P31" s="75" t="str">
        <x:f aca="0">IF(J31="","",O31*J31)</x:f>
      </x:c>
      <x:c r="Q31" s="74" t="s">
        <x:v>1627</x:v>
      </x:c>
      <x:c r="R31" s="74" t="s">
        <x:v>1628</x:v>
      </x:c>
      <x:c r="S31" s="76" t="s">
        <x:v>1629</x:v>
      </x:c>
      <x:c r="T31" s="76" t="s">
        <x:v>347</x:v>
      </x:c>
      <x:c r="U31" s="74" t="s">
        <x:v>1226</x:v>
      </x:c>
      <x:c r="V31" s="5" t="s">
        <x:v>312</x:v>
      </x:c>
      <x:c r="W31" s="5" t="s">
        <x:v>312</x:v>
      </x:c>
      <x:c r="X31" s="5" t="s">
        <x:v>1630</x:v>
      </x:c>
      <x:c r="Y31" s="5" t="s">
        <x:v>349</x:v>
      </x:c>
      <x:c r="Z31" s="5" t="s">
        <x:v>350</x:v>
      </x:c>
      <x:c r="AA31" s="5" t="s">
        <x:v>351</x:v>
      </x:c>
      <x:c r="AB31" s="5" t="s">
        <x:v>352</x:v>
      </x:c>
      <x:c r="AC31" s="5" t="s">
        <x:v>353</x:v>
      </x:c>
    </x:row>
    <x:row r="32" ht="300" hidden="0" customHeight="1">
      <x:c r="A32" s="78" t="s">
        <x:v>1527</x:v>
      </x:c>
      <x:c r="B32" s="73" t="s">
        <x:v>1631</x:v>
      </x:c>
      <x:c r="C32" s="74" t="s">
        <x:v>1632</x:v>
      </x:c>
      <x:c r="D32" s="74" t="s">
        <x:v>1633</x:v>
      </x:c>
      <x:c r="E32" s="74" t="s">
        <x:v>1562</x:v>
      </x:c>
      <x:c r="F32" s="74" t="s">
        <x:v>430</x:v>
      </x:c>
      <x:c r="G32" s="74" t="s">
        <x:v>1634</x:v>
      </x:c>
      <x:c r="H32" s="74" t="s">
        <x:v>1564</x:v>
      </x:c>
      <x:c r="I32" s="74" t="s">
        <x:v>309</x:v>
      </x:c>
      <x:c r="J32" s="75"/>
      <x:c r="K32" s="74"/>
      <x:c r="L32" s="74"/>
      <x:c r="M32" s="74"/>
      <x:c r="N32" s="74"/>
      <x:c r="O32" s="75" t="n">
        <x:v>3</x:v>
      </x:c>
      <x:c r="P32" s="75" t="str">
        <x:f aca="0">IF(J32="","",O32*J32)</x:f>
      </x:c>
      <x:c r="Q32" s="74" t="s">
        <x:v>1627</x:v>
      </x:c>
      <x:c r="R32" s="74" t="s">
        <x:v>1635</x:v>
      </x:c>
      <x:c r="S32" s="76" t="s">
        <x:v>1636</x:v>
      </x:c>
      <x:c r="T32" s="76" t="s">
        <x:v>347</x:v>
      </x:c>
      <x:c r="U32" s="74" t="s">
        <x:v>1176</x:v>
      </x:c>
      <x:c r="V32" s="5" t="s">
        <x:v>312</x:v>
      </x:c>
      <x:c r="W32" s="5" t="s">
        <x:v>312</x:v>
      </x:c>
      <x:c r="X32" s="5" t="s">
        <x:v>1637</x:v>
      </x:c>
      <x:c r="Y32" s="5" t="s">
        <x:v>349</x:v>
      </x:c>
      <x:c r="Z32" s="5" t="s">
        <x:v>350</x:v>
      </x:c>
      <x:c r="AA32" s="5" t="s">
        <x:v>351</x:v>
      </x:c>
      <x:c r="AB32" s="5" t="s">
        <x:v>352</x:v>
      </x:c>
      <x:c r="AC32" s="5" t="s">
        <x:v>353</x:v>
      </x:c>
    </x:row>
    <x:row r="33" ht="285" hidden="0" customHeight="1">
      <x:c r="A33" s="79" t="s">
        <x:v>1638</x:v>
      </x:c>
      <x:c r="B33" s="73" t="s">
        <x:v>1639</x:v>
      </x:c>
      <x:c r="C33" s="74" t="s">
        <x:v>1640</x:v>
      </x:c>
      <x:c r="D33" s="74" t="s">
        <x:v>1641</x:v>
      </x:c>
      <x:c r="E33" s="74" t="s">
        <x:v>1521</x:v>
      </x:c>
      <x:c r="F33" s="74" t="s">
        <x:v>1522</x:v>
      </x:c>
      <x:c r="G33" s="74" t="s">
        <x:v>1523</x:v>
      </x:c>
      <x:c r="H33" s="74" t="s">
        <x:v>1642</x:v>
      </x:c>
      <x:c r="I33" s="74" t="s">
        <x:v>309</x:v>
      </x:c>
      <x:c r="J33" s="75"/>
      <x:c r="K33" s="74"/>
      <x:c r="L33" s="74"/>
      <x:c r="M33" s="74"/>
      <x:c r="N33" s="74"/>
      <x:c r="O33" s="75" t="n">
        <x:v>3</x:v>
      </x:c>
      <x:c r="P33" s="75" t="str">
        <x:f aca="0">IF(J33="","",O33*J33)</x:f>
      </x:c>
      <x:c r="Q33" s="74" t="s">
        <x:v>398</x:v>
      </x:c>
      <x:c r="R33" s="74" t="s">
        <x:v>1524</x:v>
      </x:c>
      <x:c r="S33" s="76" t="s">
        <x:v>1643</x:v>
      </x:c>
      <x:c r="T33" s="76" t="s">
        <x:v>1644</x:v>
      </x:c>
      <x:c r="U33" s="74" t="s">
        <x:v>1067</x:v>
      </x:c>
      <x:c r="V33" s="5" t="s">
        <x:v>312</x:v>
      </x:c>
      <x:c r="W33" s="5" t="s">
        <x:v>312</x:v>
      </x:c>
      <x:c r="X33" s="5" t="s">
        <x:v>1645</x:v>
      </x:c>
      <x:c r="Y33" s="5" t="s">
        <x:v>1087</x:v>
      </x:c>
      <x:c r="Z33" s="5" t="s">
        <x:v>1088</x:v>
      </x:c>
      <x:c r="AA33" s="5" t="s">
        <x:v>1089</x:v>
      </x:c>
      <x:c r="AB33" s="5" t="s">
        <x:v>1090</x:v>
      </x:c>
      <x:c r="AC33" s="5" t="s">
        <x:v>1646</x:v>
      </x:c>
    </x:row>
    <x:row r="34" ht="285" hidden="0" customHeight="1">
      <x:c r="A34" s="79" t="s">
        <x:v>1638</x:v>
      </x:c>
      <x:c r="B34" s="73" t="s">
        <x:v>1647</x:v>
      </x:c>
      <x:c r="C34" s="74" t="s">
        <x:v>1648</x:v>
      </x:c>
      <x:c r="D34" s="74" t="s">
        <x:v>1649</x:v>
      </x:c>
      <x:c r="E34" s="74" t="s">
        <x:v>1521</x:v>
      </x:c>
      <x:c r="F34" s="74" t="s">
        <x:v>1522</x:v>
      </x:c>
      <x:c r="G34" s="74" t="s">
        <x:v>1650</x:v>
      </x:c>
      <x:c r="H34" s="74" t="s">
        <x:v>1642</x:v>
      </x:c>
      <x:c r="I34" s="74" t="s">
        <x:v>309</x:v>
      </x:c>
      <x:c r="J34" s="75"/>
      <x:c r="K34" s="74"/>
      <x:c r="L34" s="74"/>
      <x:c r="M34" s="74"/>
      <x:c r="N34" s="74"/>
      <x:c r="O34" s="75" t="n">
        <x:v>3</x:v>
      </x:c>
      <x:c r="P34" s="75" t="str">
        <x:f aca="0">IF(J34="","",O34*J34)</x:f>
      </x:c>
      <x:c r="Q34" s="74" t="s">
        <x:v>398</x:v>
      </x:c>
      <x:c r="R34" s="74" t="s">
        <x:v>1651</x:v>
      </x:c>
      <x:c r="S34" s="76" t="s">
        <x:v>1652</x:v>
      </x:c>
      <x:c r="T34" s="76" t="s">
        <x:v>1644</x:v>
      </x:c>
      <x:c r="U34" s="74" t="s">
        <x:v>1067</x:v>
      </x:c>
      <x:c r="V34" s="5" t="s">
        <x:v>312</x:v>
      </x:c>
      <x:c r="W34" s="5" t="s">
        <x:v>312</x:v>
      </x:c>
      <x:c r="X34" s="5" t="s">
        <x:v>1653</x:v>
      </x:c>
      <x:c r="Y34" s="5" t="s">
        <x:v>1087</x:v>
      </x:c>
      <x:c r="Z34" s="5" t="s">
        <x:v>1088</x:v>
      </x:c>
      <x:c r="AA34" s="5" t="s">
        <x:v>1089</x:v>
      </x:c>
      <x:c r="AB34" s="5" t="s">
        <x:v>1090</x:v>
      </x:c>
      <x:c r="AC34" s="5" t="s">
        <x:v>1646</x:v>
      </x:c>
    </x:row>
    <x:row r="35" ht="272.25" hidden="0" customHeight="1">
      <x:c r="A35" s="79" t="s">
        <x:v>1638</x:v>
      </x:c>
      <x:c r="B35" s="73" t="s">
        <x:v>1654</x:v>
      </x:c>
      <x:c r="C35" s="74" t="s">
        <x:v>1655</x:v>
      </x:c>
      <x:c r="D35" s="74" t="s">
        <x:v>1656</x:v>
      </x:c>
      <x:c r="E35" s="74" t="s">
        <x:v>1657</x:v>
      </x:c>
      <x:c r="F35" s="74" t="s">
        <x:v>1658</x:v>
      </x:c>
      <x:c r="G35" s="74" t="s">
        <x:v>645</x:v>
      </x:c>
      <x:c r="H35" s="74" t="s">
        <x:v>1659</x:v>
      </x:c>
      <x:c r="I35" s="74" t="s">
        <x:v>309</x:v>
      </x:c>
      <x:c r="J35" s="75"/>
      <x:c r="K35" s="74"/>
      <x:c r="L35" s="74"/>
      <x:c r="M35" s="74"/>
      <x:c r="N35" s="74"/>
      <x:c r="O35" s="75" t="n">
        <x:v>4</x:v>
      </x:c>
      <x:c r="P35" s="75" t="str">
        <x:f aca="0">IF(J35="","",O35*J35)</x:f>
      </x:c>
      <x:c r="Q35" s="74" t="s">
        <x:v>398</x:v>
      </x:c>
      <x:c r="R35" s="74" t="s">
        <x:v>1660</x:v>
      </x:c>
      <x:c r="S35" s="76" t="s">
        <x:v>1661</x:v>
      </x:c>
      <x:c r="T35" s="76" t="s">
        <x:v>658</x:v>
      </x:c>
      <x:c r="U35" s="74" t="s">
        <x:v>1067</x:v>
      </x:c>
      <x:c r="V35" s="5" t="s">
        <x:v>312</x:v>
      </x:c>
      <x:c r="W35" s="5" t="s">
        <x:v>312</x:v>
      </x:c>
      <x:c r="X35" s="5" t="s">
        <x:v>1662</x:v>
      </x:c>
      <x:c r="Y35" s="5" t="s">
        <x:v>660</x:v>
      </x:c>
      <x:c r="Z35" s="5" t="s">
        <x:v>661</x:v>
      </x:c>
      <x:c r="AA35" s="5" t="s">
        <x:v>662</x:v>
      </x:c>
      <x:c r="AB35" s="5" t="s">
        <x:v>663</x:v>
      </x:c>
      <x:c r="AC35" s="5" t="s">
        <x:v>664</x:v>
      </x:c>
    </x:row>
    <x:row r="36" ht="272.25" hidden="0" customHeight="1">
      <x:c r="A36" s="79" t="s">
        <x:v>1638</x:v>
      </x:c>
      <x:c r="B36" s="73" t="s">
        <x:v>1663</x:v>
      </x:c>
      <x:c r="C36" s="74" t="s">
        <x:v>1664</x:v>
      </x:c>
      <x:c r="D36" s="74" t="s">
        <x:v>1665</x:v>
      </x:c>
      <x:c r="E36" s="74" t="s">
        <x:v>1657</x:v>
      </x:c>
      <x:c r="F36" s="74" t="s">
        <x:v>1658</x:v>
      </x:c>
      <x:c r="G36" s="74" t="s">
        <x:v>1666</x:v>
      </x:c>
      <x:c r="H36" s="74" t="s">
        <x:v>1659</x:v>
      </x:c>
      <x:c r="I36" s="74" t="s">
        <x:v>309</x:v>
      </x:c>
      <x:c r="J36" s="75"/>
      <x:c r="K36" s="74"/>
      <x:c r="L36" s="74"/>
      <x:c r="M36" s="74"/>
      <x:c r="N36" s="74"/>
      <x:c r="O36" s="75" t="n">
        <x:v>3</x:v>
      </x:c>
      <x:c r="P36" s="75" t="str">
        <x:f aca="0">IF(J36="","",O36*J36)</x:f>
      </x:c>
      <x:c r="Q36" s="74" t="s">
        <x:v>398</x:v>
      </x:c>
      <x:c r="R36" s="74" t="s">
        <x:v>1667</x:v>
      </x:c>
      <x:c r="S36" s="76" t="s">
        <x:v>1668</x:v>
      </x:c>
      <x:c r="T36" s="76" t="s">
        <x:v>658</x:v>
      </x:c>
      <x:c r="U36" s="74" t="s">
        <x:v>1067</x:v>
      </x:c>
      <x:c r="V36" s="5" t="s">
        <x:v>312</x:v>
      </x:c>
      <x:c r="W36" s="5" t="s">
        <x:v>312</x:v>
      </x:c>
      <x:c r="X36" s="5" t="s">
        <x:v>1669</x:v>
      </x:c>
      <x:c r="Y36" s="5" t="s">
        <x:v>660</x:v>
      </x:c>
      <x:c r="Z36" s="5" t="s">
        <x:v>661</x:v>
      </x:c>
      <x:c r="AA36" s="5" t="s">
        <x:v>662</x:v>
      </x:c>
      <x:c r="AB36" s="5" t="s">
        <x:v>663</x:v>
      </x:c>
      <x:c r="AC36" s="5" t="s">
        <x:v>664</x:v>
      </x:c>
    </x:row>
    <x:row r="37" ht="285" hidden="0" customHeight="1">
      <x:c r="A37" s="79" t="s">
        <x:v>1638</x:v>
      </x:c>
      <x:c r="B37" s="73" t="s">
        <x:v>1670</x:v>
      </x:c>
      <x:c r="C37" s="74" t="s">
        <x:v>1671</x:v>
      </x:c>
      <x:c r="D37" s="74" t="s">
        <x:v>1672</x:v>
      </x:c>
      <x:c r="E37" s="74" t="s">
        <x:v>1657</x:v>
      </x:c>
      <x:c r="F37" s="74" t="s">
        <x:v>430</x:v>
      </x:c>
      <x:c r="G37" s="74" t="s">
        <x:v>1673</x:v>
      </x:c>
      <x:c r="H37" s="74" t="s">
        <x:v>1674</x:v>
      </x:c>
      <x:c r="I37" s="74" t="s">
        <x:v>309</x:v>
      </x:c>
      <x:c r="J37" s="75"/>
      <x:c r="K37" s="74"/>
      <x:c r="L37" s="74"/>
      <x:c r="M37" s="74"/>
      <x:c r="N37" s="74"/>
      <x:c r="O37" s="75" t="n">
        <x:v>3</x:v>
      </x:c>
      <x:c r="P37" s="75" t="str">
        <x:f aca="0">IF(J37="","",O37*J37)</x:f>
      </x:c>
      <x:c r="Q37" s="74" t="s">
        <x:v>1675</x:v>
      </x:c>
      <x:c r="R37" s="74" t="s">
        <x:v>1676</x:v>
      </x:c>
      <x:c r="S37" s="76" t="s">
        <x:v>1677</x:v>
      </x:c>
      <x:c r="T37" s="76" t="s">
        <x:v>458</x:v>
      </x:c>
      <x:c r="U37" s="74" t="s">
        <x:v>1067</x:v>
      </x:c>
      <x:c r="V37" s="5" t="s">
        <x:v>312</x:v>
      </x:c>
      <x:c r="W37" s="5" t="s">
        <x:v>312</x:v>
      </x:c>
      <x:c r="X37" s="5" t="s">
        <x:v>1678</x:v>
      </x:c>
      <x:c r="Y37" s="5" t="s">
        <x:v>460</x:v>
      </x:c>
      <x:c r="Z37" s="5" t="s">
        <x:v>461</x:v>
      </x:c>
      <x:c r="AA37" s="5" t="s">
        <x:v>462</x:v>
      </x:c>
      <x:c r="AB37" s="5" t="s">
        <x:v>463</x:v>
      </x:c>
      <x:c r="AC37" s="5" t="s">
        <x:v>464</x:v>
      </x:c>
    </x:row>
    <x:row r="39" ht="15" hidden="0" customHeight="1">
      <x:c r="A39" s="80" t="s">
        <x:v>1679</x:v>
      </x:c>
    </x:row>
  </x:sheetData>
  <x:dataValidations count="4">
    <x:dataValidation type="list" errorStyle="stop" operator="between" allowBlank="1" showDropDown="0" showInputMessage="0" showErrorMessage="0" sqref="V4:V37">
      <x:formula1>"Not tested,Adequate,Partially adequate,Inadequate,Not applicable"</x:formula1>
      <x:formula2>0</x:formula2>
    </x:dataValidation>
    <x:dataValidation type="list" errorStyle="stop" operator="between" allowBlank="1" showDropDown="0" showInputMessage="0" showErrorMessage="0" sqref="W4:W37">
      <x:formula1>"Not tested,Effective,Partially effective,Ineffective,Not applicable"</x:formula1>
      <x:formula2>0</x:formula2>
    </x:dataValidation>
    <x:dataValidation type="list" errorStyle="stop" operator="between" allowBlank="1" showDropDown="0" showInputMessage="0" showErrorMessage="0" sqref="I4:I37">
      <x:formula1>"Not started,In progress,Implemented,Operating effectively,Not applicable"</x:formula1>
      <x:formula2>0</x:formula2>
    </x:dataValidation>
    <x:dataValidation type="list" errorStyle="stop" operator="between" allowBlank="1" showDropDown="0" showInputMessage="0" showErrorMessage="0" sqref="J4:J37">
      <x:formula1>"1,2,3,4,5"</x:formula1>
      <x:formula2>0</x:formula2>
    </x:dataValidation>
  </x:dataValidations>
  <x:pageMargins left="0.7" right="0.7" top="0.75" bottom="0.75" header="0.3" footer="0.3"/>
</x:worksheet>
</file>

<file path=xl/worksheets/sheet10.xml><?xml version="1.0" encoding="utf-8"?>
<x:worksheet xmlns:x="http://schemas.openxmlformats.org/spreadsheetml/2006/main">
  <x:sheetViews>
    <x:sheetView showGridLines="1" workbookViewId="0"/>
  </x:sheetViews>
  <x:sheetFormatPr defaultColWidth="8.6796875" defaultRowHeight="14.25"/>
  <x:cols>
    <x:col min="1" max="1" width="20" style="1" hidden="0" customWidth="1"/>
    <x:col min="2" max="2" width="13" style="1" hidden="0" customWidth="1"/>
    <x:col min="3" max="3" width="32" style="1" hidden="0" customWidth="1"/>
    <x:col min="4" max="4" width="26" style="1" hidden="0" customWidth="1"/>
    <x:col min="5" max="6" width="22" style="1" hidden="0" customWidth="1"/>
    <x:col min="7" max="7" width="20" style="1" hidden="0" customWidth="1"/>
    <x:col min="8" max="8" width="18" style="1" hidden="0" customWidth="1"/>
    <x:col min="9" max="9" width="16" style="1" hidden="0" customWidth="1"/>
    <x:col min="10" max="10" width="11" style="1" hidden="0" customWidth="1"/>
    <x:col min="11" max="11" width="20" style="1" hidden="0" customWidth="1"/>
    <x:col min="12" max="13" width="13" style="1" hidden="0" customWidth="1"/>
    <x:col min="14" max="14" width="24" style="1" hidden="0" customWidth="1"/>
    <x:col min="15" max="15" width="9" style="1" hidden="0" customWidth="1"/>
    <x:col min="16" max="16" width="11" style="1" hidden="0" customWidth="1"/>
    <x:col min="17" max="17" width="16" style="1" hidden="0" customWidth="1"/>
    <x:col min="18" max="18" width="15" style="1" hidden="0" customWidth="1"/>
    <x:col min="19" max="19" width="30" style="1" hidden="0" customWidth="1"/>
    <x:col min="20" max="21" width="42" style="1" hidden="0" customWidth="1"/>
    <x:col min="22" max="22" width="26" style="1" hidden="0" customWidth="1"/>
    <x:col min="23" max="24" width="18" style="1" hidden="0" customWidth="1"/>
    <x:col min="25" max="25" width="62" style="1" hidden="0" customWidth="1"/>
    <x:col min="26" max="26" width="52" style="1" hidden="0" customWidth="1"/>
    <x:col min="27" max="28" width="62" style="1" hidden="0" customWidth="1"/>
    <x:col min="29" max="29" width="56" style="1" hidden="0" customWidth="1"/>
    <x:col min="30" max="30" width="26" style="1" hidden="0" customWidth="1"/>
  </x:cols>
  <x:sheetData>
    <x:row r="1" ht="15.75" hidden="0" customHeight="1">
      <x:c r="A1" s="70" t="s">
        <x:v>1680</x:v>
      </x:c>
    </x:row>
    <x:row r="3" ht="34.5" hidden="0" customHeight="1">
      <x:c r="A3" s="81" t="s">
        <x:v>1409</x:v>
      </x:c>
      <x:c r="B3" s="81" t="s">
        <x:v>1681</x:v>
      </x:c>
      <x:c r="C3" s="81" t="s">
        <x:v>1682</x:v>
      </x:c>
      <x:c r="D3" s="81" t="s">
        <x:v>1412</x:v>
      </x:c>
      <x:c r="E3" s="81" t="s">
        <x:v>1413</x:v>
      </x:c>
      <x:c r="F3" s="81" t="s">
        <x:v>1414</x:v>
      </x:c>
      <x:c r="G3" s="81" t="s">
        <x:v>965</x:v>
      </x:c>
      <x:c r="H3" s="81" t="s">
        <x:v>286</x:v>
      </x:c>
      <x:c r="I3" s="81" t="s">
        <x:v>287</x:v>
      </x:c>
      <x:c r="J3" s="81" t="s">
        <x:v>288</x:v>
      </x:c>
      <x:c r="K3" s="81" t="s">
        <x:v>289</x:v>
      </x:c>
      <x:c r="L3" s="81" t="s">
        <x:v>290</x:v>
      </x:c>
      <x:c r="M3" s="81" t="s">
        <x:v>291</x:v>
      </x:c>
      <x:c r="N3" s="81" t="s">
        <x:v>292</x:v>
      </x:c>
      <x:c r="O3" s="81" t="s">
        <x:v>1415</x:v>
      </x:c>
      <x:c r="P3" s="81" t="s">
        <x:v>1416</x:v>
      </x:c>
      <x:c r="Q3" s="81" t="s">
        <x:v>293</x:v>
      </x:c>
      <x:c r="R3" s="81" t="s">
        <x:v>1683</x:v>
      </x:c>
      <x:c r="S3" s="81" t="s">
        <x:v>1684</x:v>
      </x:c>
      <x:c r="T3" s="81" t="s">
        <x:v>294</x:v>
      </x:c>
      <x:c r="U3" s="81" t="s">
        <x:v>295</x:v>
      </x:c>
      <x:c r="V3" s="81" t="s">
        <x:v>967</x:v>
      </x:c>
      <x:c r="W3" s="32" t="s">
        <x:v>296</x:v>
      </x:c>
      <x:c r="X3" s="32" t="s">
        <x:v>297</x:v>
      </x:c>
      <x:c r="Y3" s="32" t="s">
        <x:v>298</x:v>
      </x:c>
      <x:c r="Z3" s="32" t="s">
        <x:v>299</x:v>
      </x:c>
      <x:c r="AA3" s="32" t="s">
        <x:v>300</x:v>
      </x:c>
      <x:c r="AB3" s="32" t="s">
        <x:v>301</x:v>
      </x:c>
      <x:c r="AC3" s="32" t="s">
        <x:v>302</x:v>
      </x:c>
      <x:c r="AD3" s="32" t="s">
        <x:v>303</x:v>
      </x:c>
    </x:row>
    <x:row r="4" ht="285" hidden="0" customHeight="1">
      <x:c r="A4" s="72" t="s">
        <x:v>1685</x:v>
      </x:c>
      <x:c r="B4" s="82" t="s">
        <x:v>1686</x:v>
      </x:c>
      <x:c r="C4" s="74" t="s">
        <x:v>1687</x:v>
      </x:c>
      <x:c r="D4" s="74" t="s">
        <x:v>1688</x:v>
      </x:c>
      <x:c r="E4" s="74" t="s">
        <x:v>1422</x:v>
      </x:c>
      <x:c r="F4" s="74" t="s">
        <x:v>1689</x:v>
      </x:c>
      <x:c r="G4" s="74" t="s">
        <x:v>1690</x:v>
      </x:c>
      <x:c r="H4" s="74" t="s">
        <x:v>1691</x:v>
      </x:c>
      <x:c r="I4" s="74" t="s">
        <x:v>309</x:v>
      </x:c>
      <x:c r="J4" s="83"/>
      <x:c r="K4" s="74"/>
      <x:c r="L4" s="83"/>
      <x:c r="M4" s="83"/>
      <x:c r="N4" s="74"/>
      <x:c r="O4" s="83" t="n">
        <x:v>5</x:v>
      </x:c>
      <x:c r="P4" s="83" t="str">
        <x:f aca="0">IF(J4="","",O4*J4)</x:f>
      </x:c>
      <x:c r="Q4" s="74" t="s">
        <x:v>1692</x:v>
      </x:c>
      <x:c r="R4" s="74"/>
      <x:c r="S4" s="74" t="s">
        <x:v>1693</x:v>
      </x:c>
      <x:c r="T4" s="76" t="s">
        <x:v>1694</x:v>
      </x:c>
      <x:c r="U4" s="76" t="s">
        <x:v>627</x:v>
      </x:c>
      <x:c r="V4" s="74" t="s">
        <x:v>1206</x:v>
      </x:c>
      <x:c r="W4" s="5" t="s">
        <x:v>312</x:v>
      </x:c>
      <x:c r="X4" s="5" t="s">
        <x:v>312</x:v>
      </x:c>
      <x:c r="Y4" s="5" t="s">
        <x:v>1695</x:v>
      </x:c>
      <x:c r="Z4" s="5" t="s">
        <x:v>629</x:v>
      </x:c>
      <x:c r="AA4" s="5" t="s">
        <x:v>630</x:v>
      </x:c>
      <x:c r="AB4" s="5" t="s">
        <x:v>631</x:v>
      </x:c>
      <x:c r="AC4" s="5" t="s">
        <x:v>632</x:v>
      </x:c>
      <x:c r="AD4" s="5" t="s">
        <x:v>633</x:v>
      </x:c>
    </x:row>
    <x:row r="5" ht="300" hidden="0" customHeight="1">
      <x:c r="A5" s="72" t="s">
        <x:v>1685</x:v>
      </x:c>
      <x:c r="B5" s="82" t="s">
        <x:v>1696</x:v>
      </x:c>
      <x:c r="C5" s="74" t="s">
        <x:v>1697</x:v>
      </x:c>
      <x:c r="D5" s="74" t="s">
        <x:v>1698</x:v>
      </x:c>
      <x:c r="E5" s="74" t="s">
        <x:v>1440</x:v>
      </x:c>
      <x:c r="F5" s="74" t="s">
        <x:v>1699</x:v>
      </x:c>
      <x:c r="G5" s="74" t="s">
        <x:v>1700</x:v>
      </x:c>
      <x:c r="H5" s="74" t="s">
        <x:v>1564</x:v>
      </x:c>
      <x:c r="I5" s="74" t="s">
        <x:v>309</x:v>
      </x:c>
      <x:c r="J5" s="83"/>
      <x:c r="K5" s="74"/>
      <x:c r="L5" s="83"/>
      <x:c r="M5" s="83"/>
      <x:c r="N5" s="74"/>
      <x:c r="O5" s="83" t="n">
        <x:v>5</x:v>
      </x:c>
      <x:c r="P5" s="83" t="str">
        <x:f aca="0">IF(J5="","",O5*J5)</x:f>
      </x:c>
      <x:c r="Q5" s="74" t="s">
        <x:v>1701</x:v>
      </x:c>
      <x:c r="R5" s="74" t="s">
        <x:v>1702</x:v>
      </x:c>
      <x:c r="S5" s="74" t="s">
        <x:v>1703</x:v>
      </x:c>
      <x:c r="T5" s="76" t="s">
        <x:v>1704</x:v>
      </x:c>
      <x:c r="U5" s="76" t="s">
        <x:v>530</x:v>
      </x:c>
      <x:c r="V5" s="74" t="s">
        <x:v>1206</x:v>
      </x:c>
      <x:c r="W5" s="5" t="s">
        <x:v>312</x:v>
      </x:c>
      <x:c r="X5" s="5" t="s">
        <x:v>312</x:v>
      </x:c>
      <x:c r="Y5" s="5" t="s">
        <x:v>1705</x:v>
      </x:c>
      <x:c r="Z5" s="5" t="s">
        <x:v>532</x:v>
      </x:c>
      <x:c r="AA5" s="5" t="s">
        <x:v>533</x:v>
      </x:c>
      <x:c r="AB5" s="5" t="s">
        <x:v>534</x:v>
      </x:c>
      <x:c r="AC5" s="5" t="s">
        <x:v>535</x:v>
      </x:c>
      <x:c r="AD5" s="5" t="s">
        <x:v>536</x:v>
      </x:c>
    </x:row>
    <x:row r="6" ht="300" hidden="0" customHeight="1">
      <x:c r="A6" s="72" t="s">
        <x:v>1685</x:v>
      </x:c>
      <x:c r="B6" s="82" t="s">
        <x:v>1706</x:v>
      </x:c>
      <x:c r="C6" s="74" t="s">
        <x:v>1707</x:v>
      </x:c>
      <x:c r="D6" s="74" t="s">
        <x:v>1708</x:v>
      </x:c>
      <x:c r="E6" s="74" t="s">
        <x:v>1709</x:v>
      </x:c>
      <x:c r="F6" s="74" t="s">
        <x:v>1710</x:v>
      </x:c>
      <x:c r="G6" s="74" t="s">
        <x:v>1711</x:v>
      </x:c>
      <x:c r="H6" s="74" t="s">
        <x:v>127</x:v>
      </x:c>
      <x:c r="I6" s="74" t="s">
        <x:v>309</x:v>
      </x:c>
      <x:c r="J6" s="83"/>
      <x:c r="K6" s="74"/>
      <x:c r="L6" s="83"/>
      <x:c r="M6" s="83"/>
      <x:c r="N6" s="74"/>
      <x:c r="O6" s="83" t="n">
        <x:v>5</x:v>
      </x:c>
      <x:c r="P6" s="83" t="str">
        <x:f aca="0">IF(J6="","",O6*J6)</x:f>
      </x:c>
      <x:c r="Q6" s="74" t="s">
        <x:v>398</x:v>
      </x:c>
      <x:c r="R6" s="74" t="s">
        <x:v>1702</x:v>
      </x:c>
      <x:c r="S6" s="74" t="s">
        <x:v>1712</x:v>
      </x:c>
      <x:c r="T6" s="76" t="s">
        <x:v>1713</x:v>
      </x:c>
      <x:c r="U6" s="76" t="s">
        <x:v>311</x:v>
      </x:c>
      <x:c r="V6" s="74" t="s">
        <x:v>1067</x:v>
      </x:c>
      <x:c r="W6" s="5" t="s">
        <x:v>312</x:v>
      </x:c>
      <x:c r="X6" s="5" t="s">
        <x:v>312</x:v>
      </x:c>
      <x:c r="Y6" s="5" t="s">
        <x:v>1714</x:v>
      </x:c>
      <x:c r="Z6" s="5" t="s">
        <x:v>314</x:v>
      </x:c>
      <x:c r="AA6" s="5" t="s">
        <x:v>315</x:v>
      </x:c>
      <x:c r="AB6" s="5" t="s">
        <x:v>316</x:v>
      </x:c>
      <x:c r="AC6" s="5" t="s">
        <x:v>317</x:v>
      </x:c>
      <x:c r="AD6" s="5" t="s">
        <x:v>318</x:v>
      </x:c>
    </x:row>
    <x:row r="7" ht="300" hidden="0" customHeight="1">
      <x:c r="A7" s="72" t="s">
        <x:v>1685</x:v>
      </x:c>
      <x:c r="B7" s="82" t="s">
        <x:v>1715</x:v>
      </x:c>
      <x:c r="C7" s="74" t="s">
        <x:v>1716</x:v>
      </x:c>
      <x:c r="D7" s="74" t="s">
        <x:v>1717</x:v>
      </x:c>
      <x:c r="E7" s="74" t="s">
        <x:v>1709</x:v>
      </x:c>
      <x:c r="F7" s="74" t="s">
        <x:v>553</x:v>
      </x:c>
      <x:c r="G7" s="74" t="s">
        <x:v>1718</x:v>
      </x:c>
      <x:c r="H7" s="74" t="s">
        <x:v>1719</x:v>
      </x:c>
      <x:c r="I7" s="74" t="s">
        <x:v>309</x:v>
      </x:c>
      <x:c r="J7" s="83"/>
      <x:c r="K7" s="74"/>
      <x:c r="L7" s="83"/>
      <x:c r="M7" s="83"/>
      <x:c r="N7" s="74"/>
      <x:c r="O7" s="83" t="n">
        <x:v>5</x:v>
      </x:c>
      <x:c r="P7" s="83" t="str">
        <x:f aca="0">IF(J7="","",O7*J7)</x:f>
      </x:c>
      <x:c r="Q7" s="74" t="s">
        <x:v>398</x:v>
      </x:c>
      <x:c r="R7" s="74" t="s">
        <x:v>1702</x:v>
      </x:c>
      <x:c r="S7" s="74" t="s">
        <x:v>1720</x:v>
      </x:c>
      <x:c r="T7" s="76" t="s">
        <x:v>1721</x:v>
      </x:c>
      <x:c r="U7" s="76" t="s">
        <x:v>530</x:v>
      </x:c>
      <x:c r="V7" s="74" t="s">
        <x:v>1206</x:v>
      </x:c>
      <x:c r="W7" s="5" t="s">
        <x:v>312</x:v>
      </x:c>
      <x:c r="X7" s="5" t="s">
        <x:v>312</x:v>
      </x:c>
      <x:c r="Y7" s="5" t="s">
        <x:v>1722</x:v>
      </x:c>
      <x:c r="Z7" s="5" t="s">
        <x:v>532</x:v>
      </x:c>
      <x:c r="AA7" s="5" t="s">
        <x:v>533</x:v>
      </x:c>
      <x:c r="AB7" s="5" t="s">
        <x:v>534</x:v>
      </x:c>
      <x:c r="AC7" s="5" t="s">
        <x:v>535</x:v>
      </x:c>
      <x:c r="AD7" s="5" t="s">
        <x:v>536</x:v>
      </x:c>
    </x:row>
    <x:row r="8" ht="297" hidden="0" customHeight="1">
      <x:c r="A8" s="72" t="s">
        <x:v>1685</x:v>
      </x:c>
      <x:c r="B8" s="82" t="s">
        <x:v>1723</x:v>
      </x:c>
      <x:c r="C8" s="74" t="s">
        <x:v>1724</x:v>
      </x:c>
      <x:c r="D8" s="74" t="s">
        <x:v>1725</x:v>
      </x:c>
      <x:c r="E8" s="74" t="s">
        <x:v>1422</x:v>
      </x:c>
      <x:c r="F8" s="74" t="s">
        <x:v>1423</x:v>
      </x:c>
      <x:c r="G8" s="74" t="s">
        <x:v>1726</x:v>
      </x:c>
      <x:c r="H8" s="74" t="s">
        <x:v>1425</x:v>
      </x:c>
      <x:c r="I8" s="74" t="s">
        <x:v>309</x:v>
      </x:c>
      <x:c r="J8" s="83"/>
      <x:c r="K8" s="74"/>
      <x:c r="L8" s="83"/>
      <x:c r="M8" s="83"/>
      <x:c r="N8" s="74"/>
      <x:c r="O8" s="83" t="n">
        <x:v>4</x:v>
      </x:c>
      <x:c r="P8" s="83" t="str">
        <x:f aca="0">IF(J8="","",O8*J8)</x:f>
      </x:c>
      <x:c r="Q8" s="74" t="s">
        <x:v>1692</x:v>
      </x:c>
      <x:c r="R8" s="74"/>
      <x:c r="S8" s="74" t="s">
        <x:v>1727</x:v>
      </x:c>
      <x:c r="T8" s="76" t="s">
        <x:v>1728</x:v>
      </x:c>
      <x:c r="U8" s="76" t="s">
        <x:v>476</x:v>
      </x:c>
      <x:c r="V8" s="74" t="s">
        <x:v>1067</x:v>
      </x:c>
      <x:c r="W8" s="5" t="s">
        <x:v>312</x:v>
      </x:c>
      <x:c r="X8" s="5" t="s">
        <x:v>312</x:v>
      </x:c>
      <x:c r="Y8" s="5" t="s">
        <x:v>1729</x:v>
      </x:c>
      <x:c r="Z8" s="5" t="s">
        <x:v>478</x:v>
      </x:c>
      <x:c r="AA8" s="5" t="s">
        <x:v>479</x:v>
      </x:c>
      <x:c r="AB8" s="5" t="s">
        <x:v>480</x:v>
      </x:c>
      <x:c r="AC8" s="5" t="s">
        <x:v>481</x:v>
      </x:c>
      <x:c r="AD8" s="5" t="s">
        <x:v>482</x:v>
      </x:c>
    </x:row>
    <x:row r="9" ht="285" hidden="0" customHeight="1">
      <x:c r="A9" s="72" t="s">
        <x:v>1730</x:v>
      </x:c>
      <x:c r="B9" s="82" t="s">
        <x:v>1731</x:v>
      </x:c>
      <x:c r="C9" s="74" t="s">
        <x:v>1732</x:v>
      </x:c>
      <x:c r="D9" s="74" t="s">
        <x:v>1733</x:v>
      </x:c>
      <x:c r="E9" s="74" t="s">
        <x:v>1709</x:v>
      </x:c>
      <x:c r="F9" s="74" t="s">
        <x:v>1699</x:v>
      </x:c>
      <x:c r="G9" s="74" t="s">
        <x:v>1734</x:v>
      </x:c>
      <x:c r="H9" s="74" t="s">
        <x:v>1719</x:v>
      </x:c>
      <x:c r="I9" s="74" t="s">
        <x:v>309</x:v>
      </x:c>
      <x:c r="J9" s="83"/>
      <x:c r="K9" s="74"/>
      <x:c r="L9" s="83"/>
      <x:c r="M9" s="83"/>
      <x:c r="N9" s="74"/>
      <x:c r="O9" s="83" t="n">
        <x:v>5</x:v>
      </x:c>
      <x:c r="P9" s="83" t="str">
        <x:f aca="0">IF(J9="","",O9*J9)</x:f>
      </x:c>
      <x:c r="Q9" s="74" t="s">
        <x:v>398</x:v>
      </x:c>
      <x:c r="R9" s="74" t="s">
        <x:v>1735</x:v>
      </x:c>
      <x:c r="S9" s="74" t="s">
        <x:v>1736</x:v>
      </x:c>
      <x:c r="T9" s="76" t="s">
        <x:v>1737</x:v>
      </x:c>
      <x:c r="U9" s="76" t="s">
        <x:v>458</x:v>
      </x:c>
      <x:c r="V9" s="74" t="s">
        <x:v>1176</x:v>
      </x:c>
      <x:c r="W9" s="5" t="s">
        <x:v>312</x:v>
      </x:c>
      <x:c r="X9" s="5" t="s">
        <x:v>312</x:v>
      </x:c>
      <x:c r="Y9" s="5" t="s">
        <x:v>1738</x:v>
      </x:c>
      <x:c r="Z9" s="5" t="s">
        <x:v>460</x:v>
      </x:c>
      <x:c r="AA9" s="5" t="s">
        <x:v>461</x:v>
      </x:c>
      <x:c r="AB9" s="5" t="s">
        <x:v>462</x:v>
      </x:c>
      <x:c r="AC9" s="5" t="s">
        <x:v>463</x:v>
      </x:c>
      <x:c r="AD9" s="5" t="s">
        <x:v>464</x:v>
      </x:c>
    </x:row>
    <x:row r="10" ht="300" hidden="0" customHeight="1">
      <x:c r="A10" s="72" t="s">
        <x:v>1730</x:v>
      </x:c>
      <x:c r="B10" s="82" t="s">
        <x:v>1739</x:v>
      </x:c>
      <x:c r="C10" s="74" t="s">
        <x:v>1740</x:v>
      </x:c>
      <x:c r="D10" s="74" t="s">
        <x:v>1741</x:v>
      </x:c>
      <x:c r="E10" s="74" t="s">
        <x:v>1742</x:v>
      </x:c>
      <x:c r="F10" s="74" t="s">
        <x:v>553</x:v>
      </x:c>
      <x:c r="G10" s="74" t="s">
        <x:v>923</x:v>
      </x:c>
      <x:c r="H10" s="74" t="s">
        <x:v>146</x:v>
      </x:c>
      <x:c r="I10" s="74" t="s">
        <x:v>309</x:v>
      </x:c>
      <x:c r="J10" s="83"/>
      <x:c r="K10" s="74"/>
      <x:c r="L10" s="83"/>
      <x:c r="M10" s="83"/>
      <x:c r="N10" s="74"/>
      <x:c r="O10" s="83" t="n">
        <x:v>3</x:v>
      </x:c>
      <x:c r="P10" s="83" t="str">
        <x:f aca="0">IF(J10="","",O10*J10)</x:f>
      </x:c>
      <x:c r="Q10" s="74" t="s">
        <x:v>398</x:v>
      </x:c>
      <x:c r="R10" s="74"/>
      <x:c r="S10" s="74" t="s">
        <x:v>1743</x:v>
      </x:c>
      <x:c r="T10" s="76" t="s">
        <x:v>1744</x:v>
      </x:c>
      <x:c r="U10" s="76" t="s">
        <x:v>1495</x:v>
      </x:c>
      <x:c r="V10" s="74" t="s">
        <x:v>1067</x:v>
      </x:c>
      <x:c r="W10" s="5" t="s">
        <x:v>312</x:v>
      </x:c>
      <x:c r="X10" s="5" t="s">
        <x:v>312</x:v>
      </x:c>
      <x:c r="Y10" s="5" t="s">
        <x:v>1745</x:v>
      </x:c>
      <x:c r="Z10" s="5" t="s">
        <x:v>1101</x:v>
      </x:c>
      <x:c r="AA10" s="5" t="s">
        <x:v>1102</x:v>
      </x:c>
      <x:c r="AB10" s="5" t="s">
        <x:v>1103</x:v>
      </x:c>
      <x:c r="AC10" s="5" t="s">
        <x:v>1104</x:v>
      </x:c>
      <x:c r="AD10" s="5" t="s">
        <x:v>1497</x:v>
      </x:c>
    </x:row>
    <x:row r="11" ht="300" hidden="0" customHeight="1">
      <x:c r="A11" s="72" t="s">
        <x:v>1730</x:v>
      </x:c>
      <x:c r="B11" s="82" t="s">
        <x:v>1746</x:v>
      </x:c>
      <x:c r="C11" s="74" t="s">
        <x:v>1747</x:v>
      </x:c>
      <x:c r="D11" s="74" t="s">
        <x:v>1748</x:v>
      </x:c>
      <x:c r="E11" s="74" t="s">
        <x:v>1749</x:v>
      </x:c>
      <x:c r="F11" s="74" t="s">
        <x:v>1750</x:v>
      </x:c>
      <x:c r="G11" s="74" t="s">
        <x:v>1492</x:v>
      </x:c>
      <x:c r="H11" s="74" t="s">
        <x:v>1751</x:v>
      </x:c>
      <x:c r="I11" s="74" t="s">
        <x:v>309</x:v>
      </x:c>
      <x:c r="J11" s="83"/>
      <x:c r="K11" s="74"/>
      <x:c r="L11" s="83"/>
      <x:c r="M11" s="83"/>
      <x:c r="N11" s="74"/>
      <x:c r="O11" s="83" t="n">
        <x:v>5</x:v>
      </x:c>
      <x:c r="P11" s="83" t="str">
        <x:f aca="0">IF(J11="","",O11*J11)</x:f>
      </x:c>
      <x:c r="Q11" s="74" t="s">
        <x:v>398</x:v>
      </x:c>
      <x:c r="R11" s="74"/>
      <x:c r="S11" s="74" t="s">
        <x:v>1752</x:v>
      </x:c>
      <x:c r="T11" s="76" t="s">
        <x:v>1753</x:v>
      </x:c>
      <x:c r="U11" s="76" t="s">
        <x:v>347</x:v>
      </x:c>
      <x:c r="V11" s="74" t="s">
        <x:v>1754</x:v>
      </x:c>
      <x:c r="W11" s="5" t="s">
        <x:v>312</x:v>
      </x:c>
      <x:c r="X11" s="5" t="s">
        <x:v>312</x:v>
      </x:c>
      <x:c r="Y11" s="5" t="s">
        <x:v>1755</x:v>
      </x:c>
      <x:c r="Z11" s="5" t="s">
        <x:v>349</x:v>
      </x:c>
      <x:c r="AA11" s="5" t="s">
        <x:v>350</x:v>
      </x:c>
      <x:c r="AB11" s="5" t="s">
        <x:v>351</x:v>
      </x:c>
      <x:c r="AC11" s="5" t="s">
        <x:v>352</x:v>
      </x:c>
      <x:c r="AD11" s="5" t="s">
        <x:v>353</x:v>
      </x:c>
    </x:row>
    <x:row r="12" ht="300" hidden="0" customHeight="1">
      <x:c r="A12" s="72" t="s">
        <x:v>1730</x:v>
      </x:c>
      <x:c r="B12" s="82" t="s">
        <x:v>1756</x:v>
      </x:c>
      <x:c r="C12" s="74" t="s">
        <x:v>1757</x:v>
      </x:c>
      <x:c r="D12" s="74" t="s">
        <x:v>1758</x:v>
      </x:c>
      <x:c r="E12" s="74" t="s">
        <x:v>1709</x:v>
      </x:c>
      <x:c r="F12" s="74" t="s">
        <x:v>553</x:v>
      </x:c>
      <x:c r="G12" s="74" t="s">
        <x:v>919</x:v>
      </x:c>
      <x:c r="H12" s="74" t="s">
        <x:v>239</x:v>
      </x:c>
      <x:c r="I12" s="74" t="s">
        <x:v>309</x:v>
      </x:c>
      <x:c r="J12" s="83"/>
      <x:c r="K12" s="74"/>
      <x:c r="L12" s="83"/>
      <x:c r="M12" s="83"/>
      <x:c r="N12" s="74"/>
      <x:c r="O12" s="83" t="n">
        <x:v>4</x:v>
      </x:c>
      <x:c r="P12" s="83" t="str">
        <x:f aca="0">IF(J12="","",O12*J12)</x:f>
      </x:c>
      <x:c r="Q12" s="74" t="s">
        <x:v>545</x:v>
      </x:c>
      <x:c r="R12" s="74"/>
      <x:c r="S12" s="74" t="s">
        <x:v>1759</x:v>
      </x:c>
      <x:c r="T12" s="76" t="s">
        <x:v>1760</x:v>
      </x:c>
      <x:c r="U12" s="76" t="s">
        <x:v>530</x:v>
      </x:c>
      <x:c r="V12" s="74" t="s">
        <x:v>1176</x:v>
      </x:c>
      <x:c r="W12" s="5" t="s">
        <x:v>312</x:v>
      </x:c>
      <x:c r="X12" s="5" t="s">
        <x:v>312</x:v>
      </x:c>
      <x:c r="Y12" s="5" t="s">
        <x:v>1761</x:v>
      </x:c>
      <x:c r="Z12" s="5" t="s">
        <x:v>532</x:v>
      </x:c>
      <x:c r="AA12" s="5" t="s">
        <x:v>533</x:v>
      </x:c>
      <x:c r="AB12" s="5" t="s">
        <x:v>534</x:v>
      </x:c>
      <x:c r="AC12" s="5" t="s">
        <x:v>535</x:v>
      </x:c>
      <x:c r="AD12" s="5" t="s">
        <x:v>536</x:v>
      </x:c>
    </x:row>
    <x:row r="13" ht="297" hidden="0" customHeight="1">
      <x:c r="A13" s="72" t="s">
        <x:v>1730</x:v>
      </x:c>
      <x:c r="B13" s="82" t="s">
        <x:v>1762</x:v>
      </x:c>
      <x:c r="C13" s="74" t="s">
        <x:v>1763</x:v>
      </x:c>
      <x:c r="D13" s="74" t="s">
        <x:v>1764</x:v>
      </x:c>
      <x:c r="E13" s="74" t="s">
        <x:v>1765</x:v>
      </x:c>
      <x:c r="F13" s="74" t="s">
        <x:v>430</x:v>
      </x:c>
      <x:c r="G13" s="74" t="s">
        <x:v>1507</x:v>
      </x:c>
      <x:c r="H13" s="74" t="s">
        <x:v>1564</x:v>
      </x:c>
      <x:c r="I13" s="74" t="s">
        <x:v>309</x:v>
      </x:c>
      <x:c r="J13" s="83"/>
      <x:c r="K13" s="74"/>
      <x:c r="L13" s="83"/>
      <x:c r="M13" s="83"/>
      <x:c r="N13" s="74"/>
      <x:c r="O13" s="83" t="n">
        <x:v>3</x:v>
      </x:c>
      <x:c r="P13" s="83" t="str">
        <x:f aca="0">IF(J13="","",O13*J13)</x:f>
      </x:c>
      <x:c r="Q13" s="74" t="s">
        <x:v>1161</x:v>
      </x:c>
      <x:c r="R13" s="74"/>
      <x:c r="S13" s="74" t="s">
        <x:v>1766</x:v>
      </x:c>
      <x:c r="T13" s="76" t="s">
        <x:v>1767</x:v>
      </x:c>
      <x:c r="U13" s="76" t="s">
        <x:v>476</x:v>
      </x:c>
      <x:c r="V13" s="74" t="s">
        <x:v>1607</x:v>
      </x:c>
      <x:c r="W13" s="5" t="s">
        <x:v>312</x:v>
      </x:c>
      <x:c r="X13" s="5" t="s">
        <x:v>312</x:v>
      </x:c>
      <x:c r="Y13" s="5" t="s">
        <x:v>1768</x:v>
      </x:c>
      <x:c r="Z13" s="5" t="s">
        <x:v>478</x:v>
      </x:c>
      <x:c r="AA13" s="5" t="s">
        <x:v>479</x:v>
      </x:c>
      <x:c r="AB13" s="5" t="s">
        <x:v>480</x:v>
      </x:c>
      <x:c r="AC13" s="5" t="s">
        <x:v>481</x:v>
      </x:c>
      <x:c r="AD13" s="5" t="s">
        <x:v>482</x:v>
      </x:c>
    </x:row>
    <x:row r="14" ht="300" hidden="0" customHeight="1">
      <x:c r="A14" s="72" t="s">
        <x:v>1730</x:v>
      </x:c>
      <x:c r="B14" s="82" t="s">
        <x:v>1769</x:v>
      </x:c>
      <x:c r="C14" s="74" t="s">
        <x:v>1770</x:v>
      </x:c>
      <x:c r="D14" s="74" t="s">
        <x:v>1771</x:v>
      </x:c>
      <x:c r="E14" s="74" t="s">
        <x:v>1772</x:v>
      </x:c>
      <x:c r="F14" s="74" t="s">
        <x:v>1773</x:v>
      </x:c>
      <x:c r="G14" s="74" t="s">
        <x:v>1774</x:v>
      </x:c>
      <x:c r="H14" s="74" t="s">
        <x:v>1775</x:v>
      </x:c>
      <x:c r="I14" s="74" t="s">
        <x:v>309</x:v>
      </x:c>
      <x:c r="J14" s="83"/>
      <x:c r="K14" s="74"/>
      <x:c r="L14" s="83"/>
      <x:c r="M14" s="83"/>
      <x:c r="N14" s="74"/>
      <x:c r="O14" s="83" t="n">
        <x:v>4</x:v>
      </x:c>
      <x:c r="P14" s="83" t="str">
        <x:f aca="0">IF(J14="","",O14*J14)</x:f>
      </x:c>
      <x:c r="Q14" s="74" t="s">
        <x:v>1161</x:v>
      </x:c>
      <x:c r="R14" s="74" t="s">
        <x:v>1735</x:v>
      </x:c>
      <x:c r="S14" s="74" t="s">
        <x:v>1776</x:v>
      </x:c>
      <x:c r="T14" s="76" t="s">
        <x:v>1777</x:v>
      </x:c>
      <x:c r="U14" s="76" t="s">
        <x:v>1495</x:v>
      </x:c>
      <x:c r="V14" s="74" t="s">
        <x:v>1067</x:v>
      </x:c>
      <x:c r="W14" s="5" t="s">
        <x:v>312</x:v>
      </x:c>
      <x:c r="X14" s="5" t="s">
        <x:v>312</x:v>
      </x:c>
      <x:c r="Y14" s="5" t="s">
        <x:v>1778</x:v>
      </x:c>
      <x:c r="Z14" s="5" t="s">
        <x:v>1101</x:v>
      </x:c>
      <x:c r="AA14" s="5" t="s">
        <x:v>1102</x:v>
      </x:c>
      <x:c r="AB14" s="5" t="s">
        <x:v>1103</x:v>
      </x:c>
      <x:c r="AC14" s="5" t="s">
        <x:v>1104</x:v>
      </x:c>
      <x:c r="AD14" s="5" t="s">
        <x:v>1497</x:v>
      </x:c>
    </x:row>
    <x:row r="15" ht="260.25" hidden="0" customHeight="1">
      <x:c r="A15" s="72" t="s">
        <x:v>1779</x:v>
      </x:c>
      <x:c r="B15" s="82" t="s">
        <x:v>1780</x:v>
      </x:c>
      <x:c r="C15" s="74" t="s">
        <x:v>1781</x:v>
      </x:c>
      <x:c r="D15" s="74" t="s">
        <x:v>1782</x:v>
      </x:c>
      <x:c r="E15" s="74" t="s">
        <x:v>1783</x:v>
      </x:c>
      <x:c r="F15" s="74" t="s">
        <x:v>1784</x:v>
      </x:c>
      <x:c r="G15" s="74" t="s">
        <x:v>1612</x:v>
      </x:c>
      <x:c r="H15" s="74" t="s">
        <x:v>1785</x:v>
      </x:c>
      <x:c r="I15" s="74" t="s">
        <x:v>309</x:v>
      </x:c>
      <x:c r="J15" s="83"/>
      <x:c r="K15" s="74"/>
      <x:c r="L15" s="83"/>
      <x:c r="M15" s="83"/>
      <x:c r="N15" s="74"/>
      <x:c r="O15" s="83" t="n">
        <x:v>5</x:v>
      </x:c>
      <x:c r="P15" s="83" t="str">
        <x:f aca="0">IF(J15="","",O15*J15)</x:f>
      </x:c>
      <x:c r="Q15" s="74" t="s">
        <x:v>398</x:v>
      </x:c>
      <x:c r="R15" s="74" t="s">
        <x:v>1786</x:v>
      </x:c>
      <x:c r="S15" s="74" t="s">
        <x:v>1787</x:v>
      </x:c>
      <x:c r="T15" s="76" t="s">
        <x:v>1788</x:v>
      </x:c>
      <x:c r="U15" s="76" t="s">
        <x:v>492</x:v>
      </x:c>
      <x:c r="V15" s="74" t="s">
        <x:v>1067</x:v>
      </x:c>
      <x:c r="W15" s="5" t="s">
        <x:v>312</x:v>
      </x:c>
      <x:c r="X15" s="5" t="s">
        <x:v>312</x:v>
      </x:c>
      <x:c r="Y15" s="5" t="s">
        <x:v>1789</x:v>
      </x:c>
      <x:c r="Z15" s="5" t="s">
        <x:v>494</x:v>
      </x:c>
      <x:c r="AA15" s="5" t="s">
        <x:v>495</x:v>
      </x:c>
      <x:c r="AB15" s="5" t="s">
        <x:v>496</x:v>
      </x:c>
      <x:c r="AC15" s="5" t="s">
        <x:v>497</x:v>
      </x:c>
      <x:c r="AD15" s="5" t="s">
        <x:v>498</x:v>
      </x:c>
    </x:row>
    <x:row r="16" ht="285" hidden="0" customHeight="1">
      <x:c r="A16" s="72" t="s">
        <x:v>1779</x:v>
      </x:c>
      <x:c r="B16" s="82" t="s">
        <x:v>1790</x:v>
      </x:c>
      <x:c r="C16" s="74" t="s">
        <x:v>1791</x:v>
      </x:c>
      <x:c r="D16" s="74" t="s">
        <x:v>1792</x:v>
      </x:c>
      <x:c r="E16" s="74" t="s">
        <x:v>1793</x:v>
      </x:c>
      <x:c r="F16" s="74" t="s">
        <x:v>1794</x:v>
      </x:c>
      <x:c r="G16" s="74" t="s">
        <x:v>1795</x:v>
      </x:c>
      <x:c r="H16" s="74" t="s">
        <x:v>1796</x:v>
      </x:c>
      <x:c r="I16" s="74" t="s">
        <x:v>309</x:v>
      </x:c>
      <x:c r="J16" s="83"/>
      <x:c r="K16" s="74"/>
      <x:c r="L16" s="83"/>
      <x:c r="M16" s="83"/>
      <x:c r="N16" s="74"/>
      <x:c r="O16" s="83" t="n">
        <x:v>4</x:v>
      </x:c>
      <x:c r="P16" s="83" t="str">
        <x:f aca="0">IF(J16="","",O16*J16)</x:f>
      </x:c>
      <x:c r="Q16" s="74" t="s">
        <x:v>398</x:v>
      </x:c>
      <x:c r="R16" s="74" t="s">
        <x:v>1786</x:v>
      </x:c>
      <x:c r="S16" s="74" t="s">
        <x:v>1797</x:v>
      </x:c>
      <x:c r="T16" s="76" t="s">
        <x:v>1798</x:v>
      </x:c>
      <x:c r="U16" s="76" t="s">
        <x:v>627</x:v>
      </x:c>
      <x:c r="V16" s="74" t="s">
        <x:v>1067</x:v>
      </x:c>
      <x:c r="W16" s="5" t="s">
        <x:v>312</x:v>
      </x:c>
      <x:c r="X16" s="5" t="s">
        <x:v>312</x:v>
      </x:c>
      <x:c r="Y16" s="5" t="s">
        <x:v>1799</x:v>
      </x:c>
      <x:c r="Z16" s="5" t="s">
        <x:v>629</x:v>
      </x:c>
      <x:c r="AA16" s="5" t="s">
        <x:v>630</x:v>
      </x:c>
      <x:c r="AB16" s="5" t="s">
        <x:v>631</x:v>
      </x:c>
      <x:c r="AC16" s="5" t="s">
        <x:v>632</x:v>
      </x:c>
      <x:c r="AD16" s="5" t="s">
        <x:v>633</x:v>
      </x:c>
    </x:row>
    <x:row r="17" ht="300" hidden="0" customHeight="1">
      <x:c r="A17" s="72" t="s">
        <x:v>1779</x:v>
      </x:c>
      <x:c r="B17" s="82" t="s">
        <x:v>1800</x:v>
      </x:c>
      <x:c r="C17" s="74" t="s">
        <x:v>1801</x:v>
      </x:c>
      <x:c r="D17" s="74" t="s">
        <x:v>1802</x:v>
      </x:c>
      <x:c r="E17" s="74" t="s">
        <x:v>1803</x:v>
      </x:c>
      <x:c r="F17" s="74" t="s">
        <x:v>1804</x:v>
      </x:c>
      <x:c r="G17" s="74" t="s">
        <x:v>1805</x:v>
      </x:c>
      <x:c r="H17" s="74" t="s">
        <x:v>127</x:v>
      </x:c>
      <x:c r="I17" s="74" t="s">
        <x:v>309</x:v>
      </x:c>
      <x:c r="J17" s="83"/>
      <x:c r="K17" s="74"/>
      <x:c r="L17" s="83"/>
      <x:c r="M17" s="83"/>
      <x:c r="N17" s="74"/>
      <x:c r="O17" s="83" t="n">
        <x:v>4</x:v>
      </x:c>
      <x:c r="P17" s="83" t="str">
        <x:f aca="0">IF(J17="","",O17*J17)</x:f>
      </x:c>
      <x:c r="Q17" s="74" t="s">
        <x:v>1806</x:v>
      </x:c>
      <x:c r="R17" s="74"/>
      <x:c r="S17" s="74" t="s">
        <x:v>1693</x:v>
      </x:c>
      <x:c r="T17" s="76" t="s">
        <x:v>1807</x:v>
      </x:c>
      <x:c r="U17" s="76" t="s">
        <x:v>530</x:v>
      </x:c>
      <x:c r="V17" s="74" t="s">
        <x:v>1067</x:v>
      </x:c>
      <x:c r="W17" s="5" t="s">
        <x:v>312</x:v>
      </x:c>
      <x:c r="X17" s="5" t="s">
        <x:v>312</x:v>
      </x:c>
      <x:c r="Y17" s="5" t="s">
        <x:v>1808</x:v>
      </x:c>
      <x:c r="Z17" s="5" t="s">
        <x:v>532</x:v>
      </x:c>
      <x:c r="AA17" s="5" t="s">
        <x:v>533</x:v>
      </x:c>
      <x:c r="AB17" s="5" t="s">
        <x:v>534</x:v>
      </x:c>
      <x:c r="AC17" s="5" t="s">
        <x:v>535</x:v>
      </x:c>
      <x:c r="AD17" s="5" t="s">
        <x:v>536</x:v>
      </x:c>
    </x:row>
    <x:row r="18" ht="260.25" hidden="0" customHeight="1">
      <x:c r="A18" s="72" t="s">
        <x:v>1779</x:v>
      </x:c>
      <x:c r="B18" s="82" t="s">
        <x:v>1809</x:v>
      </x:c>
      <x:c r="C18" s="74" t="s">
        <x:v>1810</x:v>
      </x:c>
      <x:c r="D18" s="74" t="s">
        <x:v>1811</x:v>
      </x:c>
      <x:c r="E18" s="74" t="s">
        <x:v>1783</x:v>
      </x:c>
      <x:c r="F18" s="74" t="s">
        <x:v>1794</x:v>
      </x:c>
      <x:c r="G18" s="74" t="s">
        <x:v>1812</x:v>
      </x:c>
      <x:c r="H18" s="74" t="s">
        <x:v>1813</x:v>
      </x:c>
      <x:c r="I18" s="74" t="s">
        <x:v>309</x:v>
      </x:c>
      <x:c r="J18" s="83"/>
      <x:c r="K18" s="74"/>
      <x:c r="L18" s="83"/>
      <x:c r="M18" s="83"/>
      <x:c r="N18" s="74"/>
      <x:c r="O18" s="83" t="n">
        <x:v>4</x:v>
      </x:c>
      <x:c r="P18" s="83" t="str">
        <x:f aca="0">IF(J18="","",O18*J18)</x:f>
      </x:c>
      <x:c r="Q18" s="74" t="s">
        <x:v>1806</x:v>
      </x:c>
      <x:c r="R18" s="74" t="s">
        <x:v>1786</x:v>
      </x:c>
      <x:c r="S18" s="74" t="s">
        <x:v>1814</x:v>
      </x:c>
      <x:c r="T18" s="76" t="s">
        <x:v>1815</x:v>
      </x:c>
      <x:c r="U18" s="76" t="s">
        <x:v>492</x:v>
      </x:c>
      <x:c r="V18" s="74" t="s">
        <x:v>1048</x:v>
      </x:c>
      <x:c r="W18" s="5" t="s">
        <x:v>312</x:v>
      </x:c>
      <x:c r="X18" s="5" t="s">
        <x:v>312</x:v>
      </x:c>
      <x:c r="Y18" s="5" t="s">
        <x:v>1816</x:v>
      </x:c>
      <x:c r="Z18" s="5" t="s">
        <x:v>494</x:v>
      </x:c>
      <x:c r="AA18" s="5" t="s">
        <x:v>495</x:v>
      </x:c>
      <x:c r="AB18" s="5" t="s">
        <x:v>496</x:v>
      </x:c>
      <x:c r="AC18" s="5" t="s">
        <x:v>497</x:v>
      </x:c>
      <x:c r="AD18" s="5" t="s">
        <x:v>498</x:v>
      </x:c>
    </x:row>
    <x:row r="19" ht="297" hidden="0" customHeight="1">
      <x:c r="A19" s="72" t="s">
        <x:v>1779</x:v>
      </x:c>
      <x:c r="B19" s="82" t="s">
        <x:v>1817</x:v>
      </x:c>
      <x:c r="C19" s="74" t="s">
        <x:v>1818</x:v>
      </x:c>
      <x:c r="D19" s="74" t="s">
        <x:v>1819</x:v>
      </x:c>
      <x:c r="E19" s="74" t="s">
        <x:v>1765</x:v>
      </x:c>
      <x:c r="F19" s="74" t="s">
        <x:v>430</x:v>
      </x:c>
      <x:c r="G19" s="74" t="s">
        <x:v>1507</x:v>
      </x:c>
      <x:c r="H19" s="74" t="s">
        <x:v>1425</x:v>
      </x:c>
      <x:c r="I19" s="74" t="s">
        <x:v>309</x:v>
      </x:c>
      <x:c r="J19" s="83"/>
      <x:c r="K19" s="74"/>
      <x:c r="L19" s="83"/>
      <x:c r="M19" s="83"/>
      <x:c r="N19" s="74"/>
      <x:c r="O19" s="83" t="n">
        <x:v>4</x:v>
      </x:c>
      <x:c r="P19" s="83" t="str">
        <x:f aca="0">IF(J19="","",O19*J19)</x:f>
      </x:c>
      <x:c r="Q19" s="74" t="s">
        <x:v>1627</x:v>
      </x:c>
      <x:c r="R19" s="74"/>
      <x:c r="S19" s="74" t="s">
        <x:v>1820</x:v>
      </x:c>
      <x:c r="T19" s="76" t="s">
        <x:v>1821</x:v>
      </x:c>
      <x:c r="U19" s="76" t="s">
        <x:v>476</x:v>
      </x:c>
      <x:c r="V19" s="74" t="s">
        <x:v>1067</x:v>
      </x:c>
      <x:c r="W19" s="5" t="s">
        <x:v>312</x:v>
      </x:c>
      <x:c r="X19" s="5" t="s">
        <x:v>312</x:v>
      </x:c>
      <x:c r="Y19" s="5" t="s">
        <x:v>1822</x:v>
      </x:c>
      <x:c r="Z19" s="5" t="s">
        <x:v>478</x:v>
      </x:c>
      <x:c r="AA19" s="5" t="s">
        <x:v>479</x:v>
      </x:c>
      <x:c r="AB19" s="5" t="s">
        <x:v>480</x:v>
      </x:c>
      <x:c r="AC19" s="5" t="s">
        <x:v>481</x:v>
      </x:c>
      <x:c r="AD19" s="5" t="s">
        <x:v>482</x:v>
      </x:c>
    </x:row>
    <x:row r="20" ht="300" hidden="0" customHeight="1">
      <x:c r="A20" s="72" t="s">
        <x:v>1823</x:v>
      </x:c>
      <x:c r="B20" s="82" t="s">
        <x:v>1824</x:v>
      </x:c>
      <x:c r="C20" s="74" t="s">
        <x:v>1825</x:v>
      </x:c>
      <x:c r="D20" s="74" t="s">
        <x:v>1826</x:v>
      </x:c>
      <x:c r="E20" s="74" t="s">
        <x:v>1742</x:v>
      </x:c>
      <x:c r="F20" s="74" t="s">
        <x:v>1773</x:v>
      </x:c>
      <x:c r="G20" s="74" t="s">
        <x:v>1827</x:v>
      </x:c>
      <x:c r="H20" s="74" t="s">
        <x:v>1775</x:v>
      </x:c>
      <x:c r="I20" s="74" t="s">
        <x:v>309</x:v>
      </x:c>
      <x:c r="J20" s="83"/>
      <x:c r="K20" s="74"/>
      <x:c r="L20" s="83"/>
      <x:c r="M20" s="83"/>
      <x:c r="N20" s="74"/>
      <x:c r="O20" s="83" t="n">
        <x:v>3</x:v>
      </x:c>
      <x:c r="P20" s="83" t="str">
        <x:f aca="0">IF(J20="","",O20*J20)</x:f>
      </x:c>
      <x:c r="Q20" s="74" t="s">
        <x:v>1701</x:v>
      </x:c>
      <x:c r="R20" s="74"/>
      <x:c r="S20" s="74" t="s">
        <x:v>1828</x:v>
      </x:c>
      <x:c r="T20" s="76" t="s">
        <x:v>1829</x:v>
      </x:c>
      <x:c r="U20" s="76" t="s">
        <x:v>361</x:v>
      </x:c>
      <x:c r="V20" s="74" t="s">
        <x:v>1067</x:v>
      </x:c>
      <x:c r="W20" s="5" t="s">
        <x:v>312</x:v>
      </x:c>
      <x:c r="X20" s="5" t="s">
        <x:v>312</x:v>
      </x:c>
      <x:c r="Y20" s="5" t="s">
        <x:v>1830</x:v>
      </x:c>
      <x:c r="Z20" s="5" t="s">
        <x:v>363</x:v>
      </x:c>
      <x:c r="AA20" s="5" t="s">
        <x:v>364</x:v>
      </x:c>
      <x:c r="AB20" s="5" t="s">
        <x:v>365</x:v>
      </x:c>
      <x:c r="AC20" s="5" t="s">
        <x:v>366</x:v>
      </x:c>
      <x:c r="AD20" s="5" t="s">
        <x:v>367</x:v>
      </x:c>
    </x:row>
    <x:row r="21" ht="300" hidden="0" customHeight="1">
      <x:c r="A21" s="72" t="s">
        <x:v>1823</x:v>
      </x:c>
      <x:c r="B21" s="82" t="s">
        <x:v>1831</x:v>
      </x:c>
      <x:c r="C21" s="74" t="s">
        <x:v>1832</x:v>
      </x:c>
      <x:c r="D21" s="74" t="s">
        <x:v>1833</x:v>
      </x:c>
      <x:c r="E21" s="74" t="s">
        <x:v>1709</x:v>
      </x:c>
      <x:c r="F21" s="74" t="s">
        <x:v>553</x:v>
      </x:c>
      <x:c r="G21" s="74" t="s">
        <x:v>1544</x:v>
      </x:c>
      <x:c r="H21" s="74" t="s">
        <x:v>1775</x:v>
      </x:c>
      <x:c r="I21" s="74" t="s">
        <x:v>309</x:v>
      </x:c>
      <x:c r="J21" s="83"/>
      <x:c r="K21" s="74"/>
      <x:c r="L21" s="83"/>
      <x:c r="M21" s="83"/>
      <x:c r="N21" s="74"/>
      <x:c r="O21" s="83" t="n">
        <x:v>4</x:v>
      </x:c>
      <x:c r="P21" s="83" t="str">
        <x:f aca="0">IF(J21="","",O21*J21)</x:f>
      </x:c>
      <x:c r="Q21" s="74" t="s">
        <x:v>398</x:v>
      </x:c>
      <x:c r="R21" s="74" t="s">
        <x:v>1834</x:v>
      </x:c>
      <x:c r="S21" s="74" t="s">
        <x:v>1712</x:v>
      </x:c>
      <x:c r="T21" s="76" t="s">
        <x:v>1835</x:v>
      </x:c>
      <x:c r="U21" s="76" t="s">
        <x:v>530</x:v>
      </x:c>
      <x:c r="V21" s="74" t="s">
        <x:v>1836</x:v>
      </x:c>
      <x:c r="W21" s="5" t="s">
        <x:v>312</x:v>
      </x:c>
      <x:c r="X21" s="5" t="s">
        <x:v>312</x:v>
      </x:c>
      <x:c r="Y21" s="5" t="s">
        <x:v>1837</x:v>
      </x:c>
      <x:c r="Z21" s="5" t="s">
        <x:v>532</x:v>
      </x:c>
      <x:c r="AA21" s="5" t="s">
        <x:v>533</x:v>
      </x:c>
      <x:c r="AB21" s="5" t="s">
        <x:v>534</x:v>
      </x:c>
      <x:c r="AC21" s="5" t="s">
        <x:v>535</x:v>
      </x:c>
      <x:c r="AD21" s="5" t="s">
        <x:v>536</x:v>
      </x:c>
    </x:row>
    <x:row r="22" ht="300" hidden="0" customHeight="1">
      <x:c r="A22" s="72" t="s">
        <x:v>1823</x:v>
      </x:c>
      <x:c r="B22" s="82" t="s">
        <x:v>1838</x:v>
      </x:c>
      <x:c r="C22" s="74" t="s">
        <x:v>1839</x:v>
      </x:c>
      <x:c r="D22" s="74" t="s">
        <x:v>1840</x:v>
      </x:c>
      <x:c r="E22" s="74" t="s">
        <x:v>1793</x:v>
      </x:c>
      <x:c r="F22" s="74" t="s">
        <x:v>525</x:v>
      </x:c>
      <x:c r="G22" s="74" t="s">
        <x:v>1795</x:v>
      </x:c>
      <x:c r="H22" s="74" t="s">
        <x:v>1691</x:v>
      </x:c>
      <x:c r="I22" s="74" t="s">
        <x:v>309</x:v>
      </x:c>
      <x:c r="J22" s="83"/>
      <x:c r="K22" s="74"/>
      <x:c r="L22" s="83"/>
      <x:c r="M22" s="83"/>
      <x:c r="N22" s="74"/>
      <x:c r="O22" s="83" t="n">
        <x:v>3</x:v>
      </x:c>
      <x:c r="P22" s="83" t="str">
        <x:f aca="0">IF(J22="","",O22*J22)</x:f>
      </x:c>
      <x:c r="Q22" s="74" t="s">
        <x:v>398</x:v>
      </x:c>
      <x:c r="R22" s="74"/>
      <x:c r="S22" s="74" t="s">
        <x:v>1841</x:v>
      </x:c>
      <x:c r="T22" s="76" t="s">
        <x:v>1842</x:v>
      </x:c>
      <x:c r="U22" s="76" t="s">
        <x:v>311</x:v>
      </x:c>
      <x:c r="V22" s="74" t="s">
        <x:v>1067</x:v>
      </x:c>
      <x:c r="W22" s="5" t="s">
        <x:v>312</x:v>
      </x:c>
      <x:c r="X22" s="5" t="s">
        <x:v>312</x:v>
      </x:c>
      <x:c r="Y22" s="5" t="s">
        <x:v>1843</x:v>
      </x:c>
      <x:c r="Z22" s="5" t="s">
        <x:v>314</x:v>
      </x:c>
      <x:c r="AA22" s="5" t="s">
        <x:v>315</x:v>
      </x:c>
      <x:c r="AB22" s="5" t="s">
        <x:v>316</x:v>
      </x:c>
      <x:c r="AC22" s="5" t="s">
        <x:v>317</x:v>
      </x:c>
      <x:c r="AD22" s="5" t="s">
        <x:v>318</x:v>
      </x:c>
    </x:row>
    <x:row r="23" ht="300" hidden="0" customHeight="1">
      <x:c r="A23" s="72" t="s">
        <x:v>1823</x:v>
      </x:c>
      <x:c r="B23" s="82" t="s">
        <x:v>1844</x:v>
      </x:c>
      <x:c r="C23" s="74" t="s">
        <x:v>1845</x:v>
      </x:c>
      <x:c r="D23" s="74" t="s">
        <x:v>1846</x:v>
      </x:c>
      <x:c r="E23" s="74" t="s">
        <x:v>1709</x:v>
      </x:c>
      <x:c r="F23" s="74" t="s">
        <x:v>1847</x:v>
      </x:c>
      <x:c r="G23" s="74" t="s">
        <x:v>1848</x:v>
      </x:c>
      <x:c r="H23" s="74" t="s">
        <x:v>127</x:v>
      </x:c>
      <x:c r="I23" s="74" t="s">
        <x:v>309</x:v>
      </x:c>
      <x:c r="J23" s="83"/>
      <x:c r="K23" s="74"/>
      <x:c r="L23" s="83"/>
      <x:c r="M23" s="83"/>
      <x:c r="N23" s="74"/>
      <x:c r="O23" s="83" t="n">
        <x:v>4</x:v>
      </x:c>
      <x:c r="P23" s="83" t="str">
        <x:f aca="0">IF(J23="","",O23*J23)</x:f>
      </x:c>
      <x:c r="Q23" s="74" t="s">
        <x:v>398</x:v>
      </x:c>
      <x:c r="R23" s="74" t="s">
        <x:v>1834</x:v>
      </x:c>
      <x:c r="S23" s="74" t="s">
        <x:v>1849</x:v>
      </x:c>
      <x:c r="T23" s="76" t="s">
        <x:v>1850</x:v>
      </x:c>
      <x:c r="U23" s="76" t="s">
        <x:v>311</x:v>
      </x:c>
      <x:c r="V23" s="74" t="s">
        <x:v>1067</x:v>
      </x:c>
      <x:c r="W23" s="5" t="s">
        <x:v>312</x:v>
      </x:c>
      <x:c r="X23" s="5" t="s">
        <x:v>312</x:v>
      </x:c>
      <x:c r="Y23" s="5" t="s">
        <x:v>1851</x:v>
      </x:c>
      <x:c r="Z23" s="5" t="s">
        <x:v>314</x:v>
      </x:c>
      <x:c r="AA23" s="5" t="s">
        <x:v>315</x:v>
      </x:c>
      <x:c r="AB23" s="5" t="s">
        <x:v>316</x:v>
      </x:c>
      <x:c r="AC23" s="5" t="s">
        <x:v>317</x:v>
      </x:c>
      <x:c r="AD23" s="5" t="s">
        <x:v>318</x:v>
      </x:c>
    </x:row>
    <x:row r="24" ht="300" hidden="0" customHeight="1">
      <x:c r="A24" s="72" t="s">
        <x:v>1823</x:v>
      </x:c>
      <x:c r="B24" s="82" t="s">
        <x:v>1852</x:v>
      </x:c>
      <x:c r="C24" s="74" t="s">
        <x:v>1853</x:v>
      </x:c>
      <x:c r="D24" s="74" t="s">
        <x:v>1854</x:v>
      </x:c>
      <x:c r="E24" s="74" t="s">
        <x:v>1855</x:v>
      </x:c>
      <x:c r="F24" s="74" t="s">
        <x:v>1856</x:v>
      </x:c>
      <x:c r="G24" s="74" t="s">
        <x:v>1857</x:v>
      </x:c>
      <x:c r="H24" s="74" t="s">
        <x:v>1858</x:v>
      </x:c>
      <x:c r="I24" s="74" t="s">
        <x:v>309</x:v>
      </x:c>
      <x:c r="J24" s="83"/>
      <x:c r="K24" s="74"/>
      <x:c r="L24" s="83"/>
      <x:c r="M24" s="83"/>
      <x:c r="N24" s="74"/>
      <x:c r="O24" s="83" t="n">
        <x:v>4</x:v>
      </x:c>
      <x:c r="P24" s="83" t="str">
        <x:f aca="0">IF(J24="","",O24*J24)</x:f>
      </x:c>
      <x:c r="Q24" s="74" t="s">
        <x:v>1859</x:v>
      </x:c>
      <x:c r="R24" s="74" t="s">
        <x:v>1834</x:v>
      </x:c>
      <x:c r="S24" s="74" t="s">
        <x:v>1860</x:v>
      </x:c>
      <x:c r="T24" s="76" t="s">
        <x:v>1861</x:v>
      </x:c>
      <x:c r="U24" s="76" t="s">
        <x:v>577</x:v>
      </x:c>
      <x:c r="V24" s="74" t="s">
        <x:v>1206</x:v>
      </x:c>
      <x:c r="W24" s="5" t="s">
        <x:v>312</x:v>
      </x:c>
      <x:c r="X24" s="5" t="s">
        <x:v>312</x:v>
      </x:c>
      <x:c r="Y24" s="5" t="s">
        <x:v>1862</x:v>
      </x:c>
      <x:c r="Z24" s="5" t="s">
        <x:v>579</x:v>
      </x:c>
      <x:c r="AA24" s="5" t="s">
        <x:v>580</x:v>
      </x:c>
      <x:c r="AB24" s="5" t="s">
        <x:v>581</x:v>
      </x:c>
      <x:c r="AC24" s="5" t="s">
        <x:v>582</x:v>
      </x:c>
      <x:c r="AD24" s="5" t="s">
        <x:v>583</x:v>
      </x:c>
    </x:row>
    <x:row r="26" ht="15" hidden="0" customHeight="1">
      <x:c r="A26" s="80" t="s">
        <x:v>1863</x:v>
      </x:c>
    </x:row>
    <x:row r="27" ht="180" hidden="0" customHeight="1">
      <x:c r="A27" s="84" t="s">
        <x:v>1864</x:v>
      </x:c>
    </x:row>
  </x:sheetData>
  <x:dataValidations count="4">
    <x:dataValidation type="list" errorStyle="stop" operator="between" allowBlank="1" showDropDown="0" showInputMessage="0" showErrorMessage="0" sqref="W4:W24">
      <x:formula1>"Not tested,Adequate,Partially adequate,Inadequate,Not applicable"</x:formula1>
      <x:formula2>0</x:formula2>
    </x:dataValidation>
    <x:dataValidation type="list" errorStyle="stop" operator="between" allowBlank="1" showDropDown="0" showInputMessage="0" showErrorMessage="0" sqref="X4:X24">
      <x:formula1>"Not tested,Effective,Partially effective,Ineffective,Not applicable"</x:formula1>
      <x:formula2>0</x:formula2>
    </x:dataValidation>
    <x:dataValidation type="list" errorStyle="stop" operator="between" allowBlank="1" showDropDown="0" showInputMessage="0" showErrorMessage="0" sqref="I4:I24">
      <x:formula1>"Not started,In progress,Implemented,Operating effectively,Not applicable"</x:formula1>
      <x:formula2>0</x:formula2>
    </x:dataValidation>
    <x:dataValidation type="list" errorStyle="stop" operator="between" allowBlank="1" showDropDown="0" showInputMessage="0" showErrorMessage="0" sqref="J4:J24">
      <x:formula1>"1,2,3,4,5"</x:formula1>
      <x:formula2>0</x:formula2>
    </x:dataValidation>
  </x:dataValidations>
  <x:pageMargins left="0.7" right="0.7" top="0.75" bottom="0.75" header="0.3" footer="0.3"/>
</x:worksheet>
</file>

<file path=xl/worksheets/sheet11.xml><?xml version="1.0" encoding="utf-8"?>
<x:worksheet xmlns:x="http://schemas.openxmlformats.org/spreadsheetml/2006/main">
  <x:sheetViews>
    <x:sheetView showGridLines="1" workbookViewId="0"/>
  </x:sheetViews>
  <x:sheetFormatPr defaultColWidth="8.6796875" defaultRowHeight="15"/>
  <x:cols>
    <x:col min="1" max="1" width="24" style="1" hidden="0" customWidth="1"/>
    <x:col min="2" max="2" width="46" style="1" hidden="0" customWidth="1"/>
    <x:col min="3" max="3" width="26" style="1" hidden="0" customWidth="1"/>
    <x:col min="4" max="4" width="15" style="1" hidden="0" customWidth="1"/>
    <x:col min="5" max="5" width="30" style="1" hidden="0" customWidth="1"/>
    <x:col min="6" max="6" width="16" style="1" hidden="0" customWidth="1"/>
    <x:col min="7" max="7" width="10" style="1" hidden="0" customWidth="1"/>
    <x:col min="8" max="8" width="48" style="1" hidden="0" customWidth="1"/>
  </x:cols>
  <x:sheetData>
    <x:row r="1" ht="21.75" hidden="0" customHeight="1">
      <x:c r="A1" s="85" t="s">
        <x:v>1865</x:v>
      </x:c>
      <x:c r="B1" s="85"/>
      <x:c r="C1" s="85"/>
      <x:c r="D1" s="85"/>
      <x:c r="E1" s="85"/>
      <x:c r="F1" s="85"/>
      <x:c r="G1" s="85"/>
      <x:c r="H1" s="85"/>
    </x:row>
    <x:row r="3" ht="34.5" hidden="0" customHeight="1">
      <x:c r="A3" s="86" t="s">
        <x:v>1866</x:v>
      </x:c>
      <x:c r="B3" s="86" t="s">
        <x:v>1867</x:v>
      </x:c>
      <x:c r="C3" s="86" t="s">
        <x:v>1868</x:v>
      </x:c>
      <x:c r="D3" s="86" t="s">
        <x:v>1869</x:v>
      </x:c>
      <x:c r="E3" s="86" t="s">
        <x:v>1870</x:v>
      </x:c>
      <x:c r="F3" s="86" t="s">
        <x:v>1871</x:v>
      </x:c>
      <x:c r="G3" s="86" t="s">
        <x:v>1872</x:v>
      </x:c>
      <x:c r="H3" s="86" t="s">
        <x:v>1873</x:v>
      </x:c>
    </x:row>
    <x:row r="4" ht="32.79999923706055" hidden="0">
      <x:c r="A4" s="87" t="s">
        <x:v>1874</x:v>
      </x:c>
      <x:c r="B4" s="88" t="s">
        <x:v>1875</x:v>
      </x:c>
      <x:c r="C4" s="88" t="s">
        <x:v>1876</x:v>
      </x:c>
      <x:c r="D4" s="89" t="s">
        <x:v>1877</x:v>
      </x:c>
      <x:c r="E4" s="89" t="s">
        <x:v>1878</x:v>
      </x:c>
      <x:c r="F4" s="89" t="s">
        <x:v>1067</x:v>
      </x:c>
      <x:c r="G4" s="90" t="s">
        <x:v>1879</x:v>
      </x:c>
      <x:c r="H4" s="88" t="s">
        <x:v>1880</x:v>
      </x:c>
    </x:row>
    <x:row r="5" ht="32.79999923706055" hidden="0">
      <x:c r="A5" s="87" t="s">
        <x:v>1881</x:v>
      </x:c>
      <x:c r="B5" s="88" t="s">
        <x:v>1882</x:v>
      </x:c>
      <x:c r="C5" s="88" t="s">
        <x:v>1883</x:v>
      </x:c>
      <x:c r="D5" s="89" t="s">
        <x:v>1884</x:v>
      </x:c>
      <x:c r="E5" s="89" t="s">
        <x:v>1474</x:v>
      </x:c>
      <x:c r="F5" s="89" t="s">
        <x:v>1067</x:v>
      </x:c>
      <x:c r="G5" s="91" t="s">
        <x:v>1885</x:v>
      </x:c>
      <x:c r="H5" s="88" t="s">
        <x:v>1886</x:v>
      </x:c>
    </x:row>
    <x:row r="6" ht="43.25" hidden="0">
      <x:c r="A6" s="87" t="s">
        <x:v>1887</x:v>
      </x:c>
      <x:c r="B6" s="88" t="s">
        <x:v>1888</x:v>
      </x:c>
      <x:c r="C6" s="88" t="s">
        <x:v>1889</x:v>
      </x:c>
      <x:c r="D6" s="89" t="s">
        <x:v>1890</x:v>
      </x:c>
      <x:c r="E6" s="89" t="s">
        <x:v>1891</x:v>
      </x:c>
      <x:c r="F6" s="89" t="s">
        <x:v>1892</x:v>
      </x:c>
      <x:c r="G6" s="91" t="s">
        <x:v>1885</x:v>
      </x:c>
      <x:c r="H6" s="88" t="s">
        <x:v>1893</x:v>
      </x:c>
    </x:row>
    <x:row r="7" ht="32.79999923706055" hidden="0">
      <x:c r="A7" s="87" t="s">
        <x:v>1894</x:v>
      </x:c>
      <x:c r="B7" s="88" t="s">
        <x:v>1895</x:v>
      </x:c>
      <x:c r="C7" s="88" t="s">
        <x:v>1896</x:v>
      </x:c>
      <x:c r="D7" s="89" t="s">
        <x:v>1897</x:v>
      </x:c>
      <x:c r="E7" s="89" t="s">
        <x:v>1483</x:v>
      </x:c>
      <x:c r="F7" s="89" t="s">
        <x:v>1067</x:v>
      </x:c>
      <x:c r="G7" s="91" t="s">
        <x:v>1885</x:v>
      </x:c>
      <x:c r="H7" s="88" t="s">
        <x:v>1898</x:v>
      </x:c>
    </x:row>
    <x:row r="8" ht="22.350000381469727" hidden="0">
      <x:c r="A8" s="87" t="s">
        <x:v>1899</x:v>
      </x:c>
      <x:c r="B8" s="88" t="s">
        <x:v>1900</x:v>
      </x:c>
      <x:c r="C8" s="88" t="s">
        <x:v>1901</x:v>
      </x:c>
      <x:c r="D8" s="89" t="s">
        <x:v>1902</x:v>
      </x:c>
      <x:c r="E8" s="89" t="s">
        <x:v>1588</x:v>
      </x:c>
      <x:c r="F8" s="89" t="s">
        <x:v>1067</x:v>
      </x:c>
      <x:c r="G8" s="90" t="s">
        <x:v>1879</x:v>
      </x:c>
      <x:c r="H8" s="88" t="s">
        <x:v>1903</x:v>
      </x:c>
    </x:row>
    <x:row r="9" ht="32.79999923706055" hidden="0">
      <x:c r="A9" s="87" t="s">
        <x:v>1904</x:v>
      </x:c>
      <x:c r="B9" s="88" t="s">
        <x:v>1905</x:v>
      </x:c>
      <x:c r="C9" s="88" t="s">
        <x:v>1906</x:v>
      </x:c>
      <x:c r="D9" s="89" t="s">
        <x:v>1907</x:v>
      </x:c>
      <x:c r="E9" s="89" t="s">
        <x:v>1504</x:v>
      </x:c>
      <x:c r="F9" s="89" t="s">
        <x:v>1809</x:v>
      </x:c>
      <x:c r="G9" s="91" t="s">
        <x:v>1885</x:v>
      </x:c>
      <x:c r="H9" s="88" t="s">
        <x:v>1908</x:v>
      </x:c>
    </x:row>
    <x:row r="10" ht="32.79999923706055" hidden="0">
      <x:c r="A10" s="87" t="s">
        <x:v>1909</x:v>
      </x:c>
      <x:c r="B10" s="88" t="s">
        <x:v>1910</x:v>
      </x:c>
      <x:c r="C10" s="88" t="s">
        <x:v>1911</x:v>
      </x:c>
      <x:c r="D10" s="89" t="s">
        <x:v>1912</x:v>
      </x:c>
      <x:c r="E10" s="89" t="s">
        <x:v>1913</x:v>
      </x:c>
      <x:c r="F10" s="89" t="s">
        <x:v>1067</x:v>
      </x:c>
      <x:c r="G10" s="91" t="s">
        <x:v>1885</x:v>
      </x:c>
      <x:c r="H10" s="88" t="s">
        <x:v>1914</x:v>
      </x:c>
    </x:row>
    <x:row r="11" ht="32.79999923706055" hidden="0">
      <x:c r="A11" s="87" t="s">
        <x:v>1915</x:v>
      </x:c>
      <x:c r="B11" s="88" t="s">
        <x:v>1916</x:v>
      </x:c>
      <x:c r="C11" s="88" t="s">
        <x:v>1917</x:v>
      </x:c>
      <x:c r="D11" s="89" t="s">
        <x:v>1126</x:v>
      </x:c>
      <x:c r="E11" s="89" t="s">
        <x:v>1918</x:v>
      </x:c>
      <x:c r="F11" s="89" t="s">
        <x:v>1831</x:v>
      </x:c>
      <x:c r="G11" s="90" t="s">
        <x:v>1879</x:v>
      </x:c>
      <x:c r="H11" s="88" t="s">
        <x:v>1919</x:v>
      </x:c>
    </x:row>
    <x:row r="12" ht="32.79999923706055" hidden="0">
      <x:c r="A12" s="87" t="s">
        <x:v>1920</x:v>
      </x:c>
      <x:c r="B12" s="88" t="s">
        <x:v>1921</x:v>
      </x:c>
      <x:c r="C12" s="88" t="s">
        <x:v>1922</x:v>
      </x:c>
      <x:c r="D12" s="89" t="s">
        <x:v>1067</x:v>
      </x:c>
      <x:c r="E12" s="89" t="s">
        <x:v>1923</x:v>
      </x:c>
      <x:c r="F12" s="89" t="s">
        <x:v>1762</x:v>
      </x:c>
      <x:c r="G12" s="90" t="s">
        <x:v>1879</x:v>
      </x:c>
      <x:c r="H12" s="88" t="s">
        <x:v>1924</x:v>
      </x:c>
    </x:row>
    <x:row r="13" ht="43.25" hidden="0">
      <x:c r="A13" s="87" t="s">
        <x:v>1925</x:v>
      </x:c>
      <x:c r="B13" s="88" t="s">
        <x:v>1926</x:v>
      </x:c>
      <x:c r="C13" s="88" t="s">
        <x:v>1927</x:v>
      </x:c>
      <x:c r="D13" s="89" t="s">
        <x:v>1167</x:v>
      </x:c>
      <x:c r="E13" s="89" t="s">
        <x:v>1928</x:v>
      </x:c>
      <x:c r="F13" s="89" t="s">
        <x:v>1929</x:v>
      </x:c>
      <x:c r="G13" s="91" t="s">
        <x:v>1885</x:v>
      </x:c>
      <x:c r="H13" s="88" t="s">
        <x:v>1930</x:v>
      </x:c>
    </x:row>
    <x:row r="14" ht="43.25" hidden="0">
      <x:c r="A14" s="87" t="s">
        <x:v>1931</x:v>
      </x:c>
      <x:c r="B14" s="88" t="s">
        <x:v>1932</x:v>
      </x:c>
      <x:c r="C14" s="88" t="s">
        <x:v>1933</x:v>
      </x:c>
      <x:c r="D14" s="89" t="s">
        <x:v>1934</x:v>
      </x:c>
      <x:c r="E14" s="89" t="s">
        <x:v>1935</x:v>
      </x:c>
      <x:c r="F14" s="89" t="s">
        <x:v>1067</x:v>
      </x:c>
      <x:c r="G14" s="90" t="s">
        <x:v>1879</x:v>
      </x:c>
      <x:c r="H14" s="88" t="s">
        <x:v>1936</x:v>
      </x:c>
    </x:row>
    <x:row r="16" ht="15" hidden="0" customHeight="1">
      <x:c r="A16" s="92" t="s">
        <x:v>1937</x:v>
      </x:c>
      <x:c r="B16" s="92"/>
      <x:c r="C16" s="92"/>
      <x:c r="D16" s="92"/>
      <x:c r="E16" s="92"/>
      <x:c r="F16" s="92"/>
      <x:c r="G16" s="92"/>
      <x:c r="H16" s="92"/>
    </x:row>
    <x:row r="17" ht="15" hidden="0" customHeight="1">
      <x:c r="A17" s="92" t="s">
        <x:v>1938</x:v>
      </x:c>
      <x:c r="B17" s="92"/>
      <x:c r="C17" s="92"/>
      <x:c r="D17" s="92"/>
      <x:c r="E17" s="92"/>
      <x:c r="F17" s="92"/>
      <x:c r="G17" s="92"/>
      <x:c r="H17" s="92"/>
    </x:row>
    <x:row r="18" ht="19.399999618530273" hidden="0" customHeight="1">
      <x:c r="A18" s="92" t="s">
        <x:v>1939</x:v>
      </x:c>
      <x:c r="B18" s="92"/>
      <x:c r="C18" s="92"/>
      <x:c r="D18" s="92"/>
      <x:c r="E18" s="92"/>
      <x:c r="F18" s="92"/>
      <x:c r="G18" s="92"/>
      <x:c r="H18" s="92"/>
    </x:row>
    <x:row r="19" ht="15" hidden="0" customHeight="1">
      <x:c r="A19" s="92" t="s">
        <x:v>1940</x:v>
      </x:c>
      <x:c r="B19" s="92"/>
      <x:c r="C19" s="92"/>
      <x:c r="D19" s="92"/>
      <x:c r="E19" s="92"/>
      <x:c r="F19" s="92"/>
      <x:c r="G19" s="92"/>
      <x:c r="H19" s="92"/>
    </x:row>
  </x:sheetData>
  <x:mergeCells>
    <x:mergeCell ref="A1:H1"/>
    <x:mergeCell ref="A16:H16"/>
    <x:mergeCell ref="A17:H17"/>
    <x:mergeCell ref="A18:H18"/>
    <x:mergeCell ref="A19:H19"/>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defaultColWidth="8.6796875" defaultRowHeight="15"/>
  <x:cols>
    <x:col min="1" max="1" width="2" style="1" hidden="0" customWidth="1"/>
    <x:col min="2" max="2" width="34" style="1" hidden="0" customWidth="1"/>
    <x:col min="3" max="3" width="118" style="1" hidden="0" customWidth="1"/>
  </x:cols>
  <x:sheetData>
    <x:row r="1" ht="13.5" hidden="0" customHeight="1"/>
    <x:row r="2" ht="36.75" hidden="0" customHeight="1">
      <x:c r="B2" s="93" t="s">
        <x:v>1941</x:v>
      </x:c>
    </x:row>
    <x:row r="3" ht="36.75" hidden="0" customHeight="1">
      <x:c r="C3" s="5" t="s">
        <x:v>1942</x:v>
      </x:c>
    </x:row>
    <x:row r="4" ht="13.5" hidden="0" customHeight="1"/>
    <x:row r="5" ht="13.5" hidden="0" customHeight="1">
      <x:c r="B5" s="94" t="s">
        <x:v>1943</x:v>
      </x:c>
    </x:row>
    <x:row r="6" ht="13.5" hidden="0" customHeight="1">
      <x:c r="B6" s="5" t="s">
        <x:v>1944</x:v>
      </x:c>
      <x:c r="C6" s="5" t="s">
        <x:v>1945</x:v>
      </x:c>
    </x:row>
    <x:row r="7" ht="24.75" hidden="0" customHeight="1">
      <x:c r="B7" s="5" t="s">
        <x:v>1946</x:v>
      </x:c>
      <x:c r="C7" s="5" t="s">
        <x:v>1947</x:v>
      </x:c>
    </x:row>
    <x:row r="8" ht="13.5" hidden="0" customHeight="1">
      <x:c r="B8" s="5" t="s">
        <x:v>1948</x:v>
      </x:c>
      <x:c r="C8" s="5" t="s">
        <x:v>1949</x:v>
      </x:c>
    </x:row>
    <x:row r="9" ht="24.75" hidden="0" customHeight="1">
      <x:c r="B9" s="5" t="s">
        <x:v>1950</x:v>
      </x:c>
      <x:c r="C9" s="5" t="s">
        <x:v>1951</x:v>
      </x:c>
    </x:row>
    <x:row r="10" ht="13.5" hidden="0" customHeight="1"/>
    <x:row r="11" ht="24.75" hidden="0" customHeight="1">
      <x:c r="B11" s="94" t="s">
        <x:v>1952</x:v>
      </x:c>
    </x:row>
    <x:row r="12" ht="24.75" hidden="0" customHeight="1">
      <x:c r="B12" s="5" t="s">
        <x:v>1953</x:v>
      </x:c>
      <x:c r="C12" s="5" t="s">
        <x:v>1954</x:v>
      </x:c>
    </x:row>
    <x:row r="13" ht="24.75" hidden="0" customHeight="1">
      <x:c r="B13" s="5" t="s">
        <x:v>1955</x:v>
      </x:c>
      <x:c r="C13" s="5" t="s">
        <x:v>1956</x:v>
      </x:c>
    </x:row>
    <x:row r="14" ht="24.75" hidden="0" customHeight="1">
      <x:c r="B14" s="5" t="s">
        <x:v>1957</x:v>
      </x:c>
      <x:c r="C14" s="5" t="s">
        <x:v>1958</x:v>
      </x:c>
    </x:row>
    <x:row r="15" ht="24.75" hidden="0" customHeight="1">
      <x:c r="B15" s="5" t="s">
        <x:v>1959</x:v>
      </x:c>
      <x:c r="C15" s="5" t="s">
        <x:v>1960</x:v>
      </x:c>
    </x:row>
    <x:row r="16" ht="24.75" hidden="0" customHeight="1">
      <x:c r="B16" s="5" t="s">
        <x:v>1961</x:v>
      </x:c>
      <x:c r="C16" s="5" t="s">
        <x:v>1962</x:v>
      </x:c>
    </x:row>
    <x:row r="17" ht="13.5" hidden="0" customHeight="1"/>
    <x:row r="18" ht="24.75" hidden="0" customHeight="1">
      <x:c r="B18" s="94" t="s">
        <x:v>1963</x:v>
      </x:c>
    </x:row>
    <x:row r="19" ht="13.5" hidden="0" customHeight="1">
      <x:c r="B19" s="5" t="s">
        <x:v>1964</x:v>
      </x:c>
      <x:c r="C19" s="5" t="s">
        <x:v>1965</x:v>
      </x:c>
    </x:row>
    <x:row r="20" ht="13.5" hidden="0" customHeight="1">
      <x:c r="B20" s="5" t="s">
        <x:v>1966</x:v>
      </x:c>
      <x:c r="C20" s="5" t="s">
        <x:v>1967</x:v>
      </x:c>
    </x:row>
    <x:row r="21" ht="13.5" hidden="0" customHeight="1">
      <x:c r="B21" s="5" t="s">
        <x:v>1968</x:v>
      </x:c>
      <x:c r="C21" s="5" t="s">
        <x:v>1969</x:v>
      </x:c>
    </x:row>
    <x:row r="22" ht="24.75" hidden="0" customHeight="1">
      <x:c r="B22" s="5" t="s">
        <x:v>1970</x:v>
      </x:c>
      <x:c r="C22" s="5" t="s">
        <x:v>1971</x:v>
      </x:c>
    </x:row>
    <x:row r="23" ht="13.5" hidden="0" customHeight="1">
      <x:c r="B23" s="5" t="s">
        <x:v>1972</x:v>
      </x:c>
      <x:c r="C23" s="5" t="s">
        <x:v>1973</x:v>
      </x:c>
    </x:row>
    <x:row r="24" ht="13.5" hidden="0" customHeight="1">
      <x:c r="B24" s="5" t="s">
        <x:v>1974</x:v>
      </x:c>
      <x:c r="C24" s="5" t="s">
        <x:v>1975</x:v>
      </x:c>
    </x:row>
    <x:row r="25" ht="13.5" hidden="0" customHeight="1">
      <x:c r="B25" s="5" t="s">
        <x:v>1976</x:v>
      </x:c>
      <x:c r="C25" s="5" t="s">
        <x:v>1977</x:v>
      </x:c>
    </x:row>
    <x:row r="26" ht="13.5" hidden="0" customHeight="1">
      <x:c r="B26" s="5" t="s">
        <x:v>1978</x:v>
      </x:c>
      <x:c r="C26" s="5" t="s">
        <x:v>1979</x:v>
      </x:c>
    </x:row>
    <x:row r="27" ht="13.5" hidden="0" customHeight="1"/>
    <x:row r="28" ht="13.5" hidden="0" customHeight="1">
      <x:c r="B28" s="94" t="s">
        <x:v>1980</x:v>
      </x:c>
    </x:row>
    <x:row r="29" ht="24.75" hidden="0" customHeight="1">
      <x:c r="C29" s="5" t="s">
        <x:v>1981</x:v>
      </x:c>
    </x:row>
    <x:row r="30" ht="24.75" hidden="0" customHeight="1">
      <x:c r="C30" s="5" t="s">
        <x:v>1982</x:v>
      </x:c>
    </x:row>
    <x:row r="31" ht="24.75" hidden="0" customHeight="1">
      <x:c r="C31" s="5" t="s">
        <x:v>1983</x:v>
      </x:c>
    </x:row>
    <x:row r="32" ht="24.75" hidden="0" customHeight="1">
      <x:c r="C32" s="5" t="s">
        <x:v>1984</x:v>
      </x:c>
    </x:row>
    <x:row r="33" ht="24.75" hidden="0" customHeight="1">
      <x:c r="C33" s="5" t="s">
        <x:v>1985</x:v>
      </x:c>
    </x:row>
    <x:row r="34" ht="24.75" hidden="0" customHeight="1">
      <x:c r="C34" s="5" t="s">
        <x:v>1986</x:v>
      </x:c>
    </x:row>
    <x:row r="35" ht="13.5" hidden="0" customHeight="1"/>
    <x:row r="36" ht="36.75" hidden="0" customHeight="1">
      <x:c r="B36" s="94" t="s">
        <x:v>1987</x:v>
      </x:c>
    </x:row>
    <x:row r="37" ht="13.5" hidden="0" customHeight="1">
      <x:c r="B37" s="5" t="s">
        <x:v>1988</x:v>
      </x:c>
      <x:c r="C37" s="5" t="s">
        <x:v>1989</x:v>
      </x:c>
    </x:row>
    <x:row r="38" ht="13.5" hidden="0" customHeight="1">
      <x:c r="B38" s="5" t="s">
        <x:v>1990</x:v>
      </x:c>
      <x:c r="C38" s="5" t="s">
        <x:v>1991</x:v>
      </x:c>
    </x:row>
    <x:row r="39" ht="13.5" hidden="0" customHeight="1">
      <x:c r="B39" s="5" t="s">
        <x:v>1992</x:v>
      </x:c>
      <x:c r="C39" s="5" t="s">
        <x:v>1993</x:v>
      </x:c>
    </x:row>
    <x:row r="40" ht="13.5" hidden="0" customHeight="1">
      <x:c r="B40" s="5" t="s">
        <x:v>1994</x:v>
      </x:c>
      <x:c r="C40" s="5" t="s">
        <x:v>1995</x:v>
      </x:c>
    </x:row>
    <x:row r="41" ht="13.5" hidden="0" customHeight="1">
      <x:c r="B41" s="5" t="s">
        <x:v>1978</x:v>
      </x:c>
      <x:c r="C41" s="5" t="s">
        <x:v>1996</x:v>
      </x:c>
    </x:row>
    <x:row r="42" ht="13.5" hidden="0" customHeight="1">
      <x:c r="B42" s="5" t="s">
        <x:v>1997</x:v>
      </x:c>
      <x:c r="C42" s="5" t="s">
        <x:v>1998</x:v>
      </x:c>
    </x:row>
    <x:row r="43" ht="13.5" hidden="0" customHeight="1">
      <x:c r="B43" s="5" t="s">
        <x:v>1999</x:v>
      </x:c>
      <x:c r="C43" s="5" t="s">
        <x:v>2000</x:v>
      </x:c>
    </x:row>
    <x:row r="44" ht="13.5" hidden="0" customHeight="1">
      <x:c r="B44" s="5" t="s">
        <x:v>2001</x:v>
      </x:c>
      <x:c r="C44" s="5" t="s">
        <x:v>2002</x:v>
      </x:c>
    </x:row>
    <x:row r="45" ht="13.5" hidden="0" customHeight="1"/>
    <x:row r="46" ht="24.75" hidden="0" customHeight="1">
      <x:c r="B46" s="94" t="s">
        <x:v>2003</x:v>
      </x:c>
    </x:row>
    <x:row r="47" ht="13.5" hidden="0" customHeight="1">
      <x:c r="B47" s="5" t="s">
        <x:v>1964</x:v>
      </x:c>
      <x:c r="C47" s="5" t="s">
        <x:v>2004</x:v>
      </x:c>
    </x:row>
    <x:row r="48" ht="13.5" hidden="0" customHeight="1">
      <x:c r="B48" s="5" t="s">
        <x:v>1966</x:v>
      </x:c>
      <x:c r="C48" s="5" t="s">
        <x:v>2005</x:v>
      </x:c>
    </x:row>
    <x:row r="49" ht="24.75" hidden="0" customHeight="1">
      <x:c r="B49" s="5" t="s">
        <x:v>1968</x:v>
      </x:c>
      <x:c r="C49" s="5" t="s">
        <x:v>2006</x:v>
      </x:c>
    </x:row>
    <x:row r="50" ht="24.75" hidden="0" customHeight="1">
      <x:c r="B50" s="5" t="s">
        <x:v>1970</x:v>
      </x:c>
      <x:c r="C50" s="5" t="s">
        <x:v>2007</x:v>
      </x:c>
    </x:row>
    <x:row r="51" ht="13.5" hidden="0" customHeight="1">
      <x:c r="B51" s="5" t="s">
        <x:v>1972</x:v>
      </x:c>
      <x:c r="C51" s="5" t="s">
        <x:v>2008</x:v>
      </x:c>
    </x:row>
    <x:row r="52" ht="13.5" hidden="0" customHeight="1">
      <x:c r="B52" s="5" t="s">
        <x:v>1974</x:v>
      </x:c>
      <x:c r="C52" s="5" t="s">
        <x:v>2009</x:v>
      </x:c>
    </x:row>
    <x:row r="53" ht="24.75" hidden="0" customHeight="1">
      <x:c r="B53" s="5" t="s">
        <x:v>1976</x:v>
      </x:c>
      <x:c r="C53" s="5" t="s">
        <x:v>2010</x:v>
      </x:c>
    </x:row>
    <x:row r="54" ht="24.75" hidden="0" customHeight="1">
      <x:c r="B54" s="5" t="s">
        <x:v>1978</x:v>
      </x:c>
      <x:c r="C54" s="5" t="s">
        <x:v>2011</x:v>
      </x:c>
    </x:row>
    <x:row r="55" ht="13.5" hidden="0" customHeight="1"/>
    <x:row r="56" ht="24.75" hidden="0" customHeight="1">
      <x:c r="B56" s="94" t="s">
        <x:v>2012</x:v>
      </x:c>
    </x:row>
    <x:row r="57" ht="24.75" hidden="0" customHeight="1">
      <x:c r="C57" s="5" t="s">
        <x:v>2013</x:v>
      </x:c>
    </x:row>
    <x:row r="58" ht="24.75" hidden="0" customHeight="1">
      <x:c r="C58" s="5" t="s">
        <x:v>2014</x:v>
      </x:c>
    </x:row>
    <x:row r="59" ht="24.75" hidden="0" customHeight="1">
      <x:c r="C59" s="5" t="s">
        <x:v>2015</x:v>
      </x:c>
    </x:row>
    <x:row r="60" ht="24.75" hidden="0" customHeight="1">
      <x:c r="C60" s="5" t="s">
        <x:v>2016</x:v>
      </x:c>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ColWidth="8.6796875" defaultRowHeight="15"/>
  <x:cols>
    <x:col min="1" max="1" width="2" style="1" hidden="0" customWidth="1"/>
    <x:col min="2" max="2" width="26" style="1" hidden="0" customWidth="1"/>
    <x:col min="3" max="3" width="10" style="1" hidden="0" customWidth="1"/>
    <x:col min="4" max="5" width="46" style="1" hidden="0" customWidth="1"/>
    <x:col min="6" max="6" width="20" style="1" hidden="0" customWidth="1"/>
  </x:cols>
  <x:sheetData>
    <x:row r="1" ht="13.5" hidden="0" customHeight="1"/>
    <x:row r="2" ht="36.75" hidden="0" customHeight="1">
      <x:c r="B2" s="93" t="s">
        <x:v>2017</x:v>
      </x:c>
    </x:row>
    <x:row r="3" ht="51.75" hidden="0" customHeight="1">
      <x:c r="B3" s="8" t="s">
        <x:v>2018</x:v>
      </x:c>
      <x:c r="C3" s="8"/>
      <x:c r="D3" s="8"/>
      <x:c r="E3" s="8"/>
      <x:c r="F3" s="8"/>
    </x:row>
    <x:row r="4" ht="13.5" hidden="0" customHeight="1"/>
    <x:row r="5" ht="13.5" hidden="0" customHeight="1">
      <x:c r="B5" s="95" t="s">
        <x:v>2019</x:v>
      </x:c>
      <x:c r="C5" s="95" t="s">
        <x:v>2020</x:v>
      </x:c>
      <x:c r="D5" s="95" t="s">
        <x:v>2021</x:v>
      </x:c>
      <x:c r="E5" s="95" t="s">
        <x:v>2022</x:v>
      </x:c>
      <x:c r="F5" s="95" t="s">
        <x:v>2023</x:v>
      </x:c>
    </x:row>
    <x:row r="6" ht="24.75" hidden="0" customHeight="1">
      <x:c r="B6" s="5" t="s">
        <x:v>2024</x:v>
      </x:c>
      <x:c r="C6" s="5" t="n">
        <x:v>18</x:v>
      </x:c>
      <x:c r="D6" s="5" t="s">
        <x:v>2025</x:v>
      </x:c>
      <x:c r="E6" s="5" t="s">
        <x:v>2026</x:v>
      </x:c>
      <x:c r="F6" s="5" t="n">
        <x:v>5</x:v>
      </x:c>
    </x:row>
    <x:row r="7" ht="24.75" hidden="0" customHeight="1">
      <x:c r="B7" s="5" t="s">
        <x:v>2027</x:v>
      </x:c>
      <x:c r="C7" s="5" t="n">
        <x:v>16</x:v>
      </x:c>
      <x:c r="D7" s="5" t="s">
        <x:v>2028</x:v>
      </x:c>
      <x:c r="E7" s="5" t="s">
        <x:v>2029</x:v>
      </x:c>
      <x:c r="F7" s="5" t="n">
        <x:v>5</x:v>
      </x:c>
    </x:row>
    <x:row r="8" ht="24.75" hidden="0" customHeight="1">
      <x:c r="B8" s="5" t="s">
        <x:v>2030</x:v>
      </x:c>
      <x:c r="C8" s="5" t="n">
        <x:v>6</x:v>
      </x:c>
      <x:c r="D8" s="5" t="s">
        <x:v>2031</x:v>
      </x:c>
      <x:c r="E8" s="5" t="s">
        <x:v>2032</x:v>
      </x:c>
      <x:c r="F8" s="5" t="n">
        <x:v>5</x:v>
      </x:c>
    </x:row>
    <x:row r="9" ht="24.75" hidden="0" customHeight="1">
      <x:c r="B9" s="5" t="s">
        <x:v>2033</x:v>
      </x:c>
      <x:c r="C9" s="5" t="n">
        <x:v>27</x:v>
      </x:c>
      <x:c r="D9" s="5" t="s">
        <x:v>2034</x:v>
      </x:c>
      <x:c r="E9" s="5" t="s">
        <x:v>2035</x:v>
      </x:c>
      <x:c r="F9" s="5" t="n">
        <x:v>5</x:v>
      </x:c>
    </x:row>
    <x:row r="10" ht="24.75" hidden="0" customHeight="1">
      <x:c r="B10" s="5" t="s">
        <x:v>2036</x:v>
      </x:c>
      <x:c r="C10" s="5" t="n">
        <x:v>22</x:v>
      </x:c>
      <x:c r="D10" s="5" t="s">
        <x:v>2037</x:v>
      </x:c>
      <x:c r="E10" s="5" t="s">
        <x:v>2038</x:v>
      </x:c>
      <x:c r="F10" s="5" t="n">
        <x:v>6</x:v>
      </x:c>
    </x:row>
    <x:row r="11" ht="24.75" hidden="0" customHeight="1">
      <x:c r="B11" s="5" t="s">
        <x:v>2039</x:v>
      </x:c>
      <x:c r="C11" s="5" t="n">
        <x:v>13</x:v>
      </x:c>
      <x:c r="D11" s="5" t="s">
        <x:v>2040</x:v>
      </x:c>
      <x:c r="E11" s="5" t="s">
        <x:v>2041</x:v>
      </x:c>
      <x:c r="F11" s="5" t="n">
        <x:v>6</x:v>
      </x:c>
    </x:row>
    <x:row r="12" ht="24.75" hidden="0" customHeight="1">
      <x:c r="B12" s="5" t="s">
        <x:v>2042</x:v>
      </x:c>
      <x:c r="C12" s="5" t="n">
        <x:v>7</x:v>
      </x:c>
      <x:c r="D12" s="5" t="s">
        <x:v>2043</x:v>
      </x:c>
      <x:c r="E12" s="5" t="s">
        <x:v>2044</x:v>
      </x:c>
      <x:c r="F12" s="5" t="n">
        <x:v>6</x:v>
      </x:c>
    </x:row>
    <x:row r="13" ht="36.75" hidden="0" customHeight="1">
      <x:c r="B13" s="5" t="s">
        <x:v>2045</x:v>
      </x:c>
      <x:c r="C13" s="5" t="n">
        <x:v>14</x:v>
      </x:c>
      <x:c r="D13" s="5" t="s">
        <x:v>2046</x:v>
      </x:c>
      <x:c r="E13" s="5" t="s">
        <x:v>2047</x:v>
      </x:c>
      <x:c r="F13" s="5" t="n">
        <x:v>6</x:v>
      </x:c>
    </x:row>
    <x:row r="14" ht="36.75" hidden="0" customHeight="1">
      <x:c r="B14" s="5" t="s">
        <x:v>2048</x:v>
      </x:c>
      <x:c r="C14" s="5" t="n">
        <x:v>18</x:v>
      </x:c>
      <x:c r="D14" s="5" t="s">
        <x:v>2049</x:v>
      </x:c>
      <x:c r="E14" s="5" t="s">
        <x:v>2050</x:v>
      </x:c>
      <x:c r="F14" s="5" t="n">
        <x:v>7</x:v>
      </x:c>
    </x:row>
    <x:row r="15" ht="24.75" hidden="0" customHeight="1">
      <x:c r="B15" s="5" t="s">
        <x:v>2051</x:v>
      </x:c>
      <x:c r="C15" s="5" t="n">
        <x:v>14</x:v>
      </x:c>
      <x:c r="D15" s="5" t="s">
        <x:v>2052</x:v>
      </x:c>
      <x:c r="E15" s="5" t="s">
        <x:v>2053</x:v>
      </x:c>
      <x:c r="F15" s="5" t="n">
        <x:v>6</x:v>
      </x:c>
    </x:row>
    <x:row r="16" ht="36.75" hidden="0" customHeight="1">
      <x:c r="B16" s="5" t="s">
        <x:v>2054</x:v>
      </x:c>
      <x:c r="C16" s="5" t="n">
        <x:v>10</x:v>
      </x:c>
      <x:c r="D16" s="5" t="s">
        <x:v>2055</x:v>
      </x:c>
      <x:c r="E16" s="5" t="s">
        <x:v>2056</x:v>
      </x:c>
      <x:c r="F16" s="5" t="n">
        <x:v>6</x:v>
      </x:c>
    </x:row>
    <x:row r="17" ht="24.75" hidden="0" customHeight="1">
      <x:c r="B17" s="5" t="s">
        <x:v>2057</x:v>
      </x:c>
      <x:c r="C17" s="5" t="n">
        <x:v>6</x:v>
      </x:c>
      <x:c r="D17" s="5" t="s">
        <x:v>2058</x:v>
      </x:c>
      <x:c r="E17" s="5" t="s">
        <x:v>2059</x:v>
      </x:c>
      <x:c r="F17" s="5" t="n">
        <x:v>6</x:v>
      </x:c>
    </x:row>
    <x:row r="18" ht="24.75" hidden="0" customHeight="1">
      <x:c r="B18" s="5" t="s">
        <x:v>2060</x:v>
      </x:c>
      <x:c r="C18" s="5" t="n">
        <x:v>4</x:v>
      </x:c>
      <x:c r="D18" s="5" t="s">
        <x:v>2061</x:v>
      </x:c>
      <x:c r="E18" s="5" t="s">
        <x:v>2062</x:v>
      </x:c>
      <x:c r="F18" s="5" t="n">
        <x:v>5</x:v>
      </x:c>
    </x:row>
    <x:row r="19" ht="36.75" hidden="0" customHeight="1">
      <x:c r="B19" s="5" t="s">
        <x:v>2063</x:v>
      </x:c>
      <x:c r="C19" s="5" t="n">
        <x:v>6</x:v>
      </x:c>
      <x:c r="D19" s="5" t="s">
        <x:v>2064</x:v>
      </x:c>
      <x:c r="E19" s="5" t="s">
        <x:v>2065</x:v>
      </x:c>
      <x:c r="F19" s="5" t="n">
        <x:v>6</x:v>
      </x:c>
    </x:row>
    <x:row r="20" ht="24.75" hidden="0" customHeight="1">
      <x:c r="B20" s="5" t="s">
        <x:v>2066</x:v>
      </x:c>
      <x:c r="C20" s="5" t="n">
        <x:v>7</x:v>
      </x:c>
      <x:c r="D20" s="5" t="s">
        <x:v>2067</x:v>
      </x:c>
      <x:c r="E20" s="5" t="s">
        <x:v>2068</x:v>
      </x:c>
      <x:c r="F20" s="5" t="n">
        <x:v>6</x:v>
      </x:c>
    </x:row>
    <x:row r="21" ht="24.75" hidden="0" customHeight="1">
      <x:c r="B21" s="5" t="s">
        <x:v>2069</x:v>
      </x:c>
      <x:c r="C21" s="5" t="n">
        <x:v>6</x:v>
      </x:c>
      <x:c r="D21" s="5" t="s">
        <x:v>2070</x:v>
      </x:c>
      <x:c r="E21" s="5" t="s">
        <x:v>2071</x:v>
      </x:c>
      <x:c r="F21" s="5" t="n">
        <x:v>5</x:v>
      </x:c>
    </x:row>
    <x:row r="22" ht="24.75" hidden="0" customHeight="1">
      <x:c r="B22" s="5" t="s">
        <x:v>2072</x:v>
      </x:c>
      <x:c r="C22" s="5" t="n">
        <x:v>1</x:v>
      </x:c>
      <x:c r="D22" s="5" t="s">
        <x:v>2073</x:v>
      </x:c>
      <x:c r="E22" s="5" t="s">
        <x:v>2074</x:v>
      </x:c>
      <x:c r="F22" s="5" t="n">
        <x:v>5</x:v>
      </x:c>
    </x:row>
    <x:row r="23" ht="13.5" hidden="0" customHeight="1"/>
    <x:row r="24" ht="51.75" hidden="0" customHeight="1">
      <x:c r="B24" s="8" t="s">
        <x:v>2075</x:v>
      </x:c>
      <x:c r="C24" s="8"/>
      <x:c r="D24" s="8"/>
      <x:c r="E24" s="8"/>
      <x:c r="F24" s="8"/>
    </x:row>
  </x:sheetData>
  <x:mergeCells>
    <x:mergeCell ref="B3:F3"/>
    <x:mergeCell ref="B24:F24"/>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defaultColWidth="8.6796875" defaultRowHeight="15"/>
  <x:cols>
    <x:col min="1" max="1" width="2" style="1" hidden="0" customWidth="1"/>
    <x:col min="2" max="2" width="30" style="1" hidden="0" customWidth="1"/>
    <x:col min="3" max="3" width="112" style="1" hidden="0" customWidth="1"/>
  </x:cols>
  <x:sheetData>
    <x:row r="1" ht="13.5" hidden="0" customHeight="1"/>
    <x:row r="2" ht="36.75" hidden="0" customHeight="1">
      <x:c r="B2" s="93" t="s">
        <x:v>2076</x:v>
      </x:c>
    </x:row>
    <x:row r="3" ht="13.5" hidden="0" customHeight="1"/>
    <x:row r="4" ht="13.5" hidden="0" customHeight="1">
      <x:c r="B4" s="94" t="s">
        <x:v>2077</x:v>
      </x:c>
    </x:row>
    <x:row r="5" ht="36.75" hidden="0" customHeight="1">
      <x:c r="B5" s="5" t="s">
        <x:v>2078</x:v>
      </x:c>
      <x:c r="C5" s="5" t="s">
        <x:v>2079</x:v>
      </x:c>
    </x:row>
    <x:row r="6" ht="36.75" hidden="0" customHeight="1">
      <x:c r="B6" s="5" t="s">
        <x:v>2080</x:v>
      </x:c>
      <x:c r="C6" s="5" t="s">
        <x:v>2081</x:v>
      </x:c>
    </x:row>
    <x:row r="7" ht="24.75" hidden="0" customHeight="1">
      <x:c r="B7" s="5" t="s">
        <x:v>2082</x:v>
      </x:c>
      <x:c r="C7" s="5" t="s">
        <x:v>2083</x:v>
      </x:c>
    </x:row>
    <x:row r="8" ht="24.75" hidden="0" customHeight="1">
      <x:c r="B8" s="5" t="s">
        <x:v>299</x:v>
      </x:c>
      <x:c r="C8" s="5" t="s">
        <x:v>2084</x:v>
      </x:c>
    </x:row>
    <x:row r="9" ht="24.75" hidden="0" customHeight="1">
      <x:c r="B9" s="5" t="s">
        <x:v>2085</x:v>
      </x:c>
      <x:c r="C9" s="5" t="s">
        <x:v>2086</x:v>
      </x:c>
    </x:row>
    <x:row r="10" ht="24.75" hidden="0" customHeight="1">
      <x:c r="B10" s="5" t="s">
        <x:v>301</x:v>
      </x:c>
      <x:c r="C10" s="5" t="s">
        <x:v>2087</x:v>
      </x:c>
    </x:row>
    <x:row r="11" ht="24.75" hidden="0" customHeight="1">
      <x:c r="B11" s="5" t="s">
        <x:v>2088</x:v>
      </x:c>
      <x:c r="C11" s="5" t="s">
        <x:v>2089</x:v>
      </x:c>
    </x:row>
    <x:row r="12" ht="36.75" hidden="0" customHeight="1">
      <x:c r="B12" s="5" t="s">
        <x:v>2090</x:v>
      </x:c>
      <x:c r="C12" s="5" t="s">
        <x:v>2091</x:v>
      </x:c>
    </x:row>
    <x:row r="13" ht="24.75" hidden="0" customHeight="1">
      <x:c r="B13" s="5" t="s">
        <x:v>28</x:v>
      </x:c>
      <x:c r="C13" s="5" t="s">
        <x:v>2092</x:v>
      </x:c>
    </x:row>
    <x:row r="14" ht="13.5" hidden="0" customHeight="1">
      <x:c r="B14" s="5" t="s">
        <x:v>2093</x:v>
      </x:c>
      <x:c r="C14" s="5" t="s">
        <x:v>2094</x:v>
      </x:c>
    </x:row>
    <x:row r="15" ht="13.5" hidden="0" customHeight="1">
      <x:c r="B15" s="5" t="s">
        <x:v>2095</x:v>
      </x:c>
      <x:c r="C15" s="5" t="s">
        <x:v>2096</x:v>
      </x:c>
    </x:row>
    <x:row r="16" ht="13.5" hidden="0" customHeight="1"/>
    <x:row r="17" ht="13.5" hidden="0" customHeight="1">
      <x:c r="B17" s="94" t="s">
        <x:v>2097</x:v>
      </x:c>
    </x:row>
    <x:row r="18" ht="36.75" hidden="0" customHeight="1">
      <x:c r="C18" s="5" t="s">
        <x:v>2098</x:v>
      </x:c>
    </x:row>
    <x:row r="19" ht="24.75" hidden="0" customHeight="1">
      <x:c r="C19" s="5" t="s">
        <x:v>2099</x:v>
      </x:c>
    </x:row>
    <x:row r="20" ht="24.75" hidden="0" customHeight="1">
      <x:c r="C20" s="5" t="s">
        <x:v>2100</x:v>
      </x:c>
    </x:row>
    <x:row r="21" ht="36.75" hidden="0" customHeight="1">
      <x:c r="C21" s="5" t="s">
        <x:v>2101</x:v>
      </x:c>
    </x:row>
    <x:row r="22" ht="24.75" hidden="0" customHeight="1">
      <x:c r="C22" s="5" t="s">
        <x:v>2102</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15" hidden="0" customWidth="1"/>
    <x:col min="3" max="3" width="15" hidden="0" customWidth="1"/>
    <x:col min="4" max="4" width="15" hidden="0" customWidth="1"/>
    <x:col min="5" max="5" width="15" hidden="0" customWidth="1"/>
    <x:col min="6" max="6" width="45" hidden="0" customWidth="1"/>
    <x:col min="7" max="7" width="55" hidden="0" customWidth="1"/>
    <x:col min="8" max="8" width="14" hidden="0" customWidth="1"/>
  </x:cols>
  <x:sheetData>
    <x:row r="1">
      <x:c r="A1" s="190" t="str">
        <x:v>Governance Engine v0.5.1 — Canonical Control Contract Export Manifest</x:v>
      </x:c>
      <x:c r="B1" s="208"/>
      <x:c r="C1" s="208"/>
      <x:c r="D1" s="208"/>
      <x:c r="E1" s="208"/>
      <x:c r="F1" s="208"/>
      <x:c r="G1" s="208"/>
      <x:c r="H1" s="208"/>
    </x:row>
    <x:row r="2">
      <x:c r="A2" s="208"/>
      <x:c r="B2" s="208"/>
      <x:c r="C2" s="208"/>
      <x:c r="D2" s="208"/>
      <x:c r="E2" s="208"/>
      <x:c r="F2" s="208"/>
      <x:c r="G2" s="208"/>
      <x:c r="H2" s="208"/>
    </x:row>
    <x:row r="3">
      <x:c r="A3" s="199" t="str">
        <x:v>Framework</x:v>
      </x:c>
      <x:c r="B3" s="199" t="str">
        <x:v>Controls</x:v>
      </x:c>
      <x:c r="C3" s="199" t="str">
        <x:v>ToD populated</x:v>
      </x:c>
      <x:c r="D3" s="199" t="str">
        <x:v>ToE populated</x:v>
      </x:c>
      <x:c r="E3" s="199" t="str">
        <x:v>Challenge fields populated</x:v>
      </x:c>
      <x:c r="F3" s="199" t="str">
        <x:v>Canonical YAML</x:v>
      </x:c>
      <x:c r="G3" s="199" t="str">
        <x:v>Authority rule</x:v>
      </x:c>
      <x:c r="H3" s="199" t="str">
        <x:v>Status</x:v>
      </x:c>
    </x:row>
    <x:row r="4">
      <x:c r="A4" s="207" t="str">
        <x:v>MAS</x:v>
      </x:c>
      <x:c r="B4" s="207" t="n">
        <x:v>30</x:v>
      </x:c>
      <x:c r="C4" s="207" t="n">
        <x:v>30</x:v>
      </x:c>
      <x:c r="D4" s="207" t="n">
        <x:v>30</x:v>
      </x:c>
      <x:c r="E4" s="207" t="n">
        <x:v>30</x:v>
      </x:c>
      <x:c r="F4" s="207" t="str">
        <x:v>governance/knowledge/contracts/mas.yaml</x:v>
      </x:c>
      <x:c r="G4" s="207" t="str">
        <x:v>Requirement semantics from requirements/mas.yaml; testing/challenge draft until approved</x:v>
      </x:c>
      <x:c r="H4" s="207" t="str">
        <x:v>READY</x:v>
      </x:c>
    </x:row>
    <x:row r="5">
      <x:c r="A5" s="207" t="str">
        <x:v>ISO/IEC 42001</x:v>
      </x:c>
      <x:c r="B5" s="207" t="n">
        <x:v>38</x:v>
      </x:c>
      <x:c r="C5" s="207" t="n">
        <x:v>38</x:v>
      </x:c>
      <x:c r="D5" s="207" t="n">
        <x:v>38</x:v>
      </x:c>
      <x:c r="E5" s="207" t="n">
        <x:v>38</x:v>
      </x:c>
      <x:c r="F5" s="207" t="str">
        <x:v>governance/knowledge/contracts/iso_42001.yaml</x:v>
      </x:c>
      <x:c r="G5" s="207" t="str">
        <x:v>Workbook-derived requirement/testing/challenge metadata remains draft until approved</x:v>
      </x:c>
      <x:c r="H5" s="207" t="str">
        <x:v>READY</x:v>
      </x:c>
    </x:row>
    <x:row r="6">
      <x:c r="A6" s="207" t="str">
        <x:v>NIST AI RMF</x:v>
      </x:c>
      <x:c r="B6" s="207" t="n">
        <x:v>72</x:v>
      </x:c>
      <x:c r="C6" s="207" t="n">
        <x:v>72</x:v>
      </x:c>
      <x:c r="D6" s="207" t="n">
        <x:v>72</x:v>
      </x:c>
      <x:c r="E6" s="207" t="n">
        <x:v>72</x:v>
      </x:c>
      <x:c r="F6" s="207" t="str">
        <x:v>governance/knowledge/contracts/nist_ai_rmf.yaml</x:v>
      </x:c>
      <x:c r="G6" s="207" t="str">
        <x:v>Workbook-derived requirement/testing/challenge metadata remains draft until approved</x:v>
      </x:c>
      <x:c r="H6" s="207" t="str">
        <x:v>READY</x:v>
      </x:c>
    </x:row>
    <x:row r="7">
      <x:c r="A7" s="207" t="str">
        <x:v>MGF Agentic</x:v>
      </x:c>
      <x:c r="B7" s="207" t="n">
        <x:v>34</x:v>
      </x:c>
      <x:c r="C7" s="207" t="n">
        <x:v>34</x:v>
      </x:c>
      <x:c r="D7" s="207" t="n">
        <x:v>34</x:v>
      </x:c>
      <x:c r="E7" s="207" t="n">
        <x:v>34</x:v>
      </x:c>
      <x:c r="F7" s="207" t="str">
        <x:v>governance/knowledge/contracts/mgf_agentic.yaml</x:v>
      </x:c>
      <x:c r="G7" s="207" t="str">
        <x:v>Workbook-derived requirement/testing/challenge metadata remains draft until approved</x:v>
      </x:c>
      <x:c r="H7" s="207" t="str">
        <x:v>READY</x:v>
      </x:c>
    </x:row>
    <x:row r="8">
      <x:c r="A8" s="207" t="str">
        <x:v>SAFR</x:v>
      </x:c>
      <x:c r="B8" s="207" t="n">
        <x:v>21</x:v>
      </x:c>
      <x:c r="C8" s="207" t="n">
        <x:v>21</x:v>
      </x:c>
      <x:c r="D8" s="207" t="n">
        <x:v>21</x:v>
      </x:c>
      <x:c r="E8" s="207" t="n">
        <x:v>21</x:v>
      </x:c>
      <x:c r="F8" s="207" t="str">
        <x:v>governance/knowledge/contracts/safr.yaml</x:v>
      </x:c>
      <x:c r="G8" s="207" t="str">
        <x:v>Workbook-derived requirement/testing/challenge metadata remains draft until approved</x:v>
      </x:c>
      <x:c r="H8" s="207" t="str">
        <x:v>READY</x:v>
      </x:c>
    </x:row>
    <x:row r="9">
      <x:c r="A9" s="207" t="str">
        <x:v>TOTAL</x:v>
      </x:c>
      <x:c r="B9" s="207" t="n">
        <x:v>195</x:v>
      </x:c>
      <x:c r="C9" s="207" t="n">
        <x:v>195</x:v>
      </x:c>
      <x:c r="D9" s="207" t="n">
        <x:v>195</x:v>
      </x:c>
      <x:c r="E9" s="207" t="n">
        <x:v>195</x:v>
      </x:c>
      <x:c r="F9" s="207" t="str">
        <x:v>5 per-framework YAML files + combined control_contracts.yaml</x:v>
      </x:c>
      <x:c r="G9" s="207" t="str">
        <x:v>See repo control_contract.py</x:v>
      </x:c>
      <x:c r="H9" s="207" t="str">
        <x:v>READY</x:v>
      </x:c>
    </x:row>
    <x:row r="11">
      <x:c r="A11" s="211" t="str">
        <x:v>Contract schema: requirement → elements → ToD → ToE → near-miss failure modes → resolution → sufficiency boundary → provenance</x:v>
      </x:c>
    </x:row>
  </x:sheetData>
  <x:mergeCells>
    <x:mergeCell ref="A1:H1"/>
    <x:mergeCell ref="A11:H11"/>
  </x:mergeCells>
  <x:pageMargins left="0.7" right="0.7" top="0.75" bottom="0.75" header="0.3" footer="0.3"/>
</x:worksheet>
</file>