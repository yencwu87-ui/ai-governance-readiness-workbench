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6" autoFilterDateGrouping="1"/>
  </bookViews>
  <sheets>
    <sheet xmlns:r="http://schemas.openxmlformats.org/officeDocument/2006/relationships" name="How to Use" sheetId="1" state="visible" r:id="rId1"/>
    <sheet xmlns:r="http://schemas.openxmlformats.org/officeDocument/2006/relationships" name="Roles &amp; RACI" sheetId="2" state="visible" r:id="rId2"/>
    <sheet xmlns:r="http://schemas.openxmlformats.org/officeDocument/2006/relationships" name="Playbooks &amp; Runbooks" sheetId="3" state="visible" r:id="rId3"/>
    <sheet xmlns:r="http://schemas.openxmlformats.org/officeDocument/2006/relationships" name="Control Library - ISO 42001" sheetId="4" state="visible" r:id="rId4"/>
    <sheet xmlns:r="http://schemas.openxmlformats.org/officeDocument/2006/relationships" name="Control Library - NIST AI RMF" sheetId="5" state="visible" r:id="rId5"/>
    <sheet xmlns:r="http://schemas.openxmlformats.org/officeDocument/2006/relationships" name="Control Library - MAS" sheetId="6" state="visible" r:id="rId6"/>
    <sheet xmlns:r="http://schemas.openxmlformats.org/officeDocument/2006/relationships" name="Stress-Test Tracker" sheetId="7" state="visible" r:id="rId7"/>
    <sheet xmlns:r="http://schemas.openxmlformats.org/officeDocument/2006/relationships" name="Maturity Dashboard" sheetId="8" state="visible" r:id="rId8"/>
    <sheet xmlns:r="http://schemas.openxmlformats.org/officeDocument/2006/relationships" name="Control Library - MGF Agentic" sheetId="9" state="visible" r:id="rId9"/>
    <sheet xmlns:r="http://schemas.openxmlformats.org/officeDocument/2006/relationships" name="Control Library - SAFR" sheetId="10" state="visible" r:id="rId10"/>
    <sheet xmlns:r="http://schemas.openxmlformats.org/officeDocument/2006/relationships" name="CSA Priority-Action Crosswalk" sheetId="11" state="visible" r:id="rId11"/>
  </sheets>
  <definedNames>
    <definedName name="_xlnm._FilterDatabase" localSheetId="3" hidden="1">'Control Library - ISO 42001'!$A$3:$N$41</definedName>
    <definedName name="_xlnm._FilterDatabase" localSheetId="4" hidden="1">'Control Library - NIST AI RMF'!$A$3:$O$75</definedName>
    <definedName name="_xlnm._FilterDatabase" localSheetId="5" hidden="1">'Control Library - MAS'!$A$3:$Q$33</definedName>
    <definedName name="_xlnm._FilterDatabase" localSheetId="6" hidden="1">'Stress-Test Tracker'!$A$3:$L$13</definedName>
    <definedName name="_xlnm._FilterDatabase" localSheetId="8" hidden="1">'Control Library - MGF Agentic'!$A$3:$T$37</definedName>
    <definedName name="_xlnm._FilterDatabase" localSheetId="9" hidden="1">'Control Library - SAFR'!$A$3:$U$24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30">
    <font>
      <name val="Calibri"/>
      <color theme="1"/>
      <sz val="11"/>
    </font>
    <font>
      <name val="Arial"/>
      <sz val="10"/>
    </font>
    <font>
      <name val="Arial"/>
      <b val="1"/>
      <color rgb="FF1F3A5F"/>
      <sz val="18"/>
    </font>
    <font>
      <name val="Arial"/>
      <color rgb="FF595959"/>
      <sz val="11"/>
    </font>
    <font>
      <name val="Arial"/>
      <b val="1"/>
      <color indexed="63"/>
      <sz val="10"/>
    </font>
    <font>
      <name val="Arial"/>
      <b val="1"/>
      <color rgb="FF1F3A5F"/>
      <sz val="12"/>
    </font>
    <font>
      <name val="Arial"/>
      <b val="1"/>
      <color rgb="FF1E2761"/>
      <sz val="12"/>
    </font>
    <font>
      <name val="Arial"/>
      <color rgb="FF1E293B"/>
      <sz val="10"/>
    </font>
    <font>
      <name val="Arial"/>
      <b val="1"/>
      <color rgb="FF1F3A5F"/>
      <sz val="13"/>
    </font>
    <font>
      <name val="Arial"/>
      <b val="1"/>
      <color indexed="65"/>
      <sz val="10"/>
    </font>
    <font>
      <name val="Arial"/>
      <b val="1"/>
      <sz val="10"/>
    </font>
    <font>
      <name val="Arial"/>
      <i val="1"/>
      <color rgb="FF595959"/>
      <sz val="9"/>
    </font>
    <font>
      <name val="Arial"/>
      <i val="1"/>
      <sz val="10"/>
    </font>
    <font>
      <name val="Calibri"/>
      <b val="1"/>
      <color rgb="FF1E2761"/>
      <sz val="11"/>
    </font>
    <font>
      <name val="Arial"/>
      <b val="1"/>
      <color rgb="FF1F3A5F"/>
      <sz val="15"/>
    </font>
    <font>
      <name val="Arial"/>
      <i val="1"/>
      <color rgb="FF595959"/>
      <sz val="10"/>
    </font>
    <font>
      <name val="Arial"/>
      <b val="1"/>
      <color rgb="FF1F3A5F"/>
      <sz val="11"/>
    </font>
    <font>
      <name val="Calibri"/>
      <b val="1"/>
      <color indexed="65"/>
      <sz val="11"/>
    </font>
    <font>
      <name val="Calibri"/>
      <i val="1"/>
      <color rgb="FF64748B"/>
      <sz val="10"/>
    </font>
    <font>
      <name val="Calibri"/>
      <b val="1"/>
      <color indexed="65"/>
      <sz val="10"/>
    </font>
    <font>
      <name val="Calibri"/>
      <b val="1"/>
      <color rgb="FF1E293B"/>
      <sz val="10"/>
    </font>
    <font>
      <name val="Calibri"/>
      <color rgb="FF1E293B"/>
      <sz val="10"/>
    </font>
    <font>
      <name val="Calibri"/>
      <i val="1"/>
      <color rgb="FF64748B"/>
      <sz val="9"/>
    </font>
    <font>
      <name val="Arial"/>
      <b val="1"/>
      <color rgb="FF1E2761"/>
      <sz val="13"/>
    </font>
    <font>
      <name val="Arial"/>
      <b val="1"/>
      <color rgb="FF1E293B"/>
      <sz val="9"/>
    </font>
    <font>
      <name val="Arial"/>
      <b val="1"/>
      <color rgb="FF1E2761"/>
      <sz val="9"/>
    </font>
    <font>
      <name val="Arial"/>
      <color rgb="FF1E293B"/>
      <sz val="9"/>
    </font>
    <font>
      <name val="Arial"/>
      <i val="1"/>
      <color rgb="FF64748B"/>
      <sz val="8"/>
    </font>
    <font>
      <name val="Arial"/>
      <i val="1"/>
      <color rgb="FF5A6B7B"/>
      <sz val="9"/>
    </font>
    <font>
      <name val="Arial"/>
      <i val="1"/>
      <color rgb="FF5A6B7B"/>
      <sz val="8"/>
    </font>
  </fonts>
  <fills count="28">
    <fill>
      <patternFill/>
    </fill>
    <fill>
      <patternFill patternType="gray125"/>
    </fill>
    <fill>
      <patternFill patternType="solid">
        <fgColor rgb="FF50603A"/>
        <bgColor rgb="FF4A6B3D"/>
      </patternFill>
    </fill>
    <fill>
      <patternFill patternType="solid">
        <fgColor indexed="65"/>
        <bgColor rgb="FFF4F7FA"/>
      </patternFill>
    </fill>
    <fill>
      <patternFill patternType="solid">
        <fgColor rgb="FFEEF1E8"/>
        <bgColor rgb="FFEAF0F4"/>
      </patternFill>
    </fill>
    <fill>
      <patternFill patternType="solid">
        <fgColor rgb="FF8A5A2B"/>
        <bgColor rgb="FF8C3A2E"/>
      </patternFill>
    </fill>
    <fill>
      <patternFill patternType="solid">
        <fgColor rgb="FFF3E9DC"/>
        <bgColor rgb="FFFCE8D5"/>
      </patternFill>
    </fill>
    <fill>
      <patternFill patternType="solid">
        <fgColor rgb="FFFBF6EF"/>
        <bgColor rgb="FFFBF1E6"/>
      </patternFill>
    </fill>
    <fill>
      <patternFill patternType="solid">
        <fgColor rgb="FFE3F1EC"/>
        <bgColor rgb="FFEAF0F4"/>
      </patternFill>
    </fill>
    <fill>
      <patternFill patternType="solid">
        <fgColor rgb="FFFFF3C4"/>
        <bgColor rgb="FFFCE8D5"/>
      </patternFill>
    </fill>
    <fill>
      <patternFill patternType="solid">
        <fgColor rgb="FF2E5E8C"/>
        <bgColor rgb="FF1E5F74"/>
      </patternFill>
    </fill>
    <fill>
      <patternFill patternType="solid">
        <fgColor rgb="FFF4F7FA"/>
        <bgColor rgb="FFFBF6EF"/>
      </patternFill>
    </fill>
    <fill>
      <patternFill patternType="solid">
        <fgColor rgb="FF4A6B3D"/>
        <bgColor rgb="FF50603A"/>
      </patternFill>
    </fill>
    <fill>
      <patternFill patternType="solid">
        <fgColor rgb="FF8C3A2E"/>
        <bgColor indexed="25"/>
      </patternFill>
    </fill>
    <fill>
      <patternFill patternType="solid">
        <fgColor rgb="FFB5651D"/>
        <bgColor rgb="FF8A5A2B"/>
      </patternFill>
    </fill>
    <fill>
      <patternFill patternType="solid">
        <fgColor rgb="FFFBF1E6"/>
        <bgColor rgb="FFFBF6EF"/>
      </patternFill>
    </fill>
    <fill>
      <patternFill patternType="solid">
        <fgColor rgb="FF2E4A5E"/>
        <bgColor rgb="FF1F3A5F"/>
      </patternFill>
    </fill>
    <fill>
      <patternFill patternType="solid">
        <fgColor rgb="FFEAF0F4"/>
        <bgColor rgb="FFEEF1E8"/>
      </patternFill>
    </fill>
    <fill>
      <patternFill patternType="solid">
        <fgColor rgb="FFDCE6F1"/>
        <bgColor rgb="FFD6E4F7"/>
      </patternFill>
    </fill>
    <fill>
      <patternFill patternType="solid">
        <fgColor rgb="FF1E2761"/>
        <bgColor rgb="FF1E293B"/>
      </patternFill>
    </fill>
    <fill>
      <patternFill patternType="solid">
        <fgColor rgb="FF5B6678"/>
        <bgColor rgb="FF64748B"/>
      </patternFill>
    </fill>
    <fill>
      <patternFill patternType="solid">
        <fgColor rgb="FFD6E4F7"/>
        <bgColor rgb="FFDCE6F1"/>
      </patternFill>
    </fill>
    <fill>
      <patternFill patternType="solid">
        <fgColor rgb="FFE3F0D9"/>
        <bgColor rgb="FFE3F1EC"/>
      </patternFill>
    </fill>
    <fill>
      <patternFill patternType="solid">
        <fgColor rgb="FFFCE8D5"/>
        <bgColor rgb="FFF3E9DC"/>
      </patternFill>
    </fill>
    <fill>
      <patternFill patternType="solid">
        <fgColor rgb="FFEAE0F2"/>
        <bgColor rgb="FFDCE6F1"/>
      </patternFill>
    </fill>
    <fill>
      <patternFill patternType="solid">
        <fgColor rgb="FF1E5F74"/>
        <bgColor rgb="FF2E5E8C"/>
      </patternFill>
    </fill>
    <fill>
      <patternFill patternType="solid">
        <fgColor rgb="FF1E2761"/>
      </patternFill>
    </fill>
    <fill>
      <patternFill patternType="solid">
        <fgColor rgb="FFD6E4F7"/>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C7CEDB"/>
      </left>
      <right/>
      <top style="thin">
        <color rgb="FFC7CEDB"/>
      </top>
      <bottom style="thin">
        <color rgb="FFC7CEDB"/>
      </bottom>
      <diagonal/>
    </border>
    <border>
      <left/>
      <right style="thin">
        <color rgb="FFC7CEDB"/>
      </right>
      <top style="thin">
        <color rgb="FFC7CEDB"/>
      </top>
      <bottom style="thin">
        <color rgb="FFC7CEDB"/>
      </bottom>
      <diagonal/>
    </border>
    <border>
      <left style="thin">
        <color rgb="FFC7CEDB"/>
      </left>
      <right style="thin">
        <color rgb="FFC7CEDB"/>
      </right>
      <top style="thin">
        <color rgb="FFC7CEDB"/>
      </top>
      <bottom style="thin">
        <color rgb="FFC7CEDB"/>
      </bottom>
      <diagonal/>
    </border>
    <border>
      <left style="thin">
        <color rgb="FFC9D6E8"/>
      </left>
      <right style="thin">
        <color rgb="FFC9D6E8"/>
      </right>
      <top style="thin">
        <color rgb="FFC9D6E8"/>
      </top>
      <bottom style="thin">
        <color rgb="FFC9D6E8"/>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C7CEDB"/>
      </top>
      <bottom/>
      <diagonal/>
    </border>
    <border>
      <left/>
      <right/>
      <top style="thin">
        <color rgb="FFC7CEDB"/>
      </top>
      <bottom style="thin">
        <color rgb="FFC7CEDB"/>
      </bottom>
      <diagonal/>
    </border>
  </borders>
  <cellStyleXfs count="6">
    <xf numFmtId="0" fontId="0" fillId="0" borderId="0"/>
    <xf numFmtId="43" fontId="1" fillId="0" borderId="0"/>
    <xf numFmtId="41" fontId="1" fillId="0" borderId="0"/>
    <xf numFmtId="44" fontId="1" fillId="0" borderId="0"/>
    <xf numFmtId="42" fontId="1" fillId="0" borderId="0"/>
    <xf numFmtId="9" fontId="1" fillId="0" borderId="0"/>
  </cellStyleXfs>
  <cellXfs count="88">
    <xf numFmtId="0" fontId="0" fillId="0" borderId="0" pivotButton="0" quotePrefix="0" xfId="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center" wrapText="1"/>
    </xf>
    <xf numFmtId="0" fontId="8" fillId="0" borderId="0" pivotButton="0" quotePrefix="0" xfId="0"/>
    <xf numFmtId="0" fontId="9" fillId="2" borderId="1" applyAlignment="1" pivotButton="0" quotePrefix="0" xfId="0">
      <alignment horizontal="left" vertical="center" wrapText="1"/>
    </xf>
    <xf numFmtId="0" fontId="10" fillId="3" borderId="1" applyAlignment="1" pivotButton="0" quotePrefix="0" xfId="0">
      <alignment horizontal="left" vertical="top" wrapText="1"/>
    </xf>
    <xf numFmtId="0" fontId="1" fillId="3" borderId="1" applyAlignment="1" pivotButton="0" quotePrefix="0" xfId="0">
      <alignment horizontal="left" vertical="top" wrapText="1"/>
    </xf>
    <xf numFmtId="0" fontId="10" fillId="4" borderId="1" applyAlignment="1" pivotButton="0" quotePrefix="0" xfId="0">
      <alignment horizontal="left" vertical="top" wrapText="1"/>
    </xf>
    <xf numFmtId="0" fontId="1" fillId="4" borderId="1" applyAlignment="1" pivotButton="0" quotePrefix="0" xfId="0">
      <alignment horizontal="left" vertical="top" wrapText="1"/>
    </xf>
    <xf numFmtId="0" fontId="11" fillId="0" borderId="0" applyAlignment="1" pivotButton="0" quotePrefix="0" xfId="0">
      <alignment vertical="top" wrapText="1"/>
    </xf>
    <xf numFmtId="0" fontId="9" fillId="5" borderId="1" applyAlignment="1" pivotButton="0" quotePrefix="0" xfId="0">
      <alignment horizontal="left" vertical="center" wrapText="1"/>
    </xf>
    <xf numFmtId="0" fontId="10" fillId="6" borderId="1" applyAlignment="1" pivotButton="0" quotePrefix="0" xfId="0">
      <alignment horizontal="left" vertical="top" wrapText="1"/>
    </xf>
    <xf numFmtId="0" fontId="12" fillId="6" borderId="1" applyAlignment="1" pivotButton="0" quotePrefix="0" xfId="0">
      <alignment horizontal="left" vertical="top" wrapText="1"/>
    </xf>
    <xf numFmtId="0" fontId="10" fillId="7" borderId="1" applyAlignment="1" pivotButton="0" quotePrefix="0" xfId="0">
      <alignment horizontal="left" vertical="top" wrapText="1"/>
    </xf>
    <xf numFmtId="0" fontId="1" fillId="7" borderId="1" applyAlignment="1" pivotButton="0" quotePrefix="0" xfId="0">
      <alignment horizontal="left" vertical="top" wrapText="1"/>
    </xf>
    <xf numFmtId="0" fontId="10" fillId="8" borderId="1" applyAlignment="1" pivotButton="0" quotePrefix="0" xfId="0">
      <alignment horizontal="left" vertical="top" wrapText="1"/>
    </xf>
    <xf numFmtId="0" fontId="1" fillId="8" borderId="1" applyAlignment="1" pivotButton="0" quotePrefix="0" xfId="0">
      <alignment horizontal="left" vertical="top" wrapText="1"/>
    </xf>
    <xf numFmtId="0" fontId="13" fillId="9" borderId="1" applyAlignment="1" pivotButton="0" quotePrefix="0" xfId="0">
      <alignment horizontal="left" vertical="top" wrapText="1"/>
    </xf>
    <xf numFmtId="0" fontId="1" fillId="9" borderId="1" applyAlignment="1" pivotButton="0" quotePrefix="0" xfId="0">
      <alignment horizontal="left" vertical="top" wrapText="1"/>
    </xf>
    <xf numFmtId="0" fontId="12" fillId="6" borderId="1" applyAlignment="1" pivotButton="0" quotePrefix="0" xfId="0">
      <alignment vertical="top" wrapText="1"/>
    </xf>
    <xf numFmtId="0" fontId="1" fillId="0" borderId="0" pivotButton="0" quotePrefix="0" xfId="0"/>
    <xf numFmtId="0" fontId="9" fillId="10" borderId="1" applyAlignment="1" pivotButton="0" quotePrefix="0" xfId="0">
      <alignment horizontal="left" vertical="center" wrapText="1"/>
    </xf>
    <xf numFmtId="0" fontId="1" fillId="3" borderId="1" applyAlignment="1" pivotButton="0" quotePrefix="0" xfId="0">
      <alignment horizontal="center" vertical="top" wrapText="1"/>
    </xf>
    <xf numFmtId="0" fontId="1" fillId="11" borderId="1" applyAlignment="1" pivotButton="0" quotePrefix="0" xfId="0">
      <alignment horizontal="left" vertical="top" wrapText="1"/>
    </xf>
    <xf numFmtId="0" fontId="10" fillId="11" borderId="1" applyAlignment="1" pivotButton="0" quotePrefix="0" xfId="0">
      <alignment horizontal="left" vertical="top" wrapText="1"/>
    </xf>
    <xf numFmtId="0" fontId="1" fillId="11" borderId="1" applyAlignment="1" pivotButton="0" quotePrefix="0" xfId="0">
      <alignment horizontal="center" vertical="top" wrapText="1"/>
    </xf>
    <xf numFmtId="0" fontId="9" fillId="12" borderId="1" applyAlignment="1" pivotButton="0" quotePrefix="0" xfId="0">
      <alignment horizontal="left" vertical="center" wrapText="1"/>
    </xf>
    <xf numFmtId="0" fontId="9" fillId="13" borderId="1" applyAlignment="1" pivotButton="0" quotePrefix="0" xfId="0">
      <alignment horizontal="left" vertical="center" wrapText="1"/>
    </xf>
    <xf numFmtId="0" fontId="9" fillId="14" borderId="1" applyAlignment="1" pivotButton="0" quotePrefix="0" xfId="0">
      <alignment horizontal="left" vertical="center" wrapText="1"/>
    </xf>
    <xf numFmtId="0" fontId="10" fillId="3" borderId="1" applyAlignment="1" pivotButton="0" quotePrefix="0" xfId="0">
      <alignment horizontal="center" vertical="top" wrapText="1"/>
    </xf>
    <xf numFmtId="0" fontId="10" fillId="15" borderId="1" applyAlignment="1" pivotButton="0" quotePrefix="0" xfId="0">
      <alignment horizontal="center" vertical="top" wrapText="1"/>
    </xf>
    <xf numFmtId="0" fontId="10" fillId="15" borderId="1" applyAlignment="1" pivotButton="0" quotePrefix="0" xfId="0">
      <alignment horizontal="left" vertical="top" wrapText="1"/>
    </xf>
    <xf numFmtId="0" fontId="1" fillId="15" borderId="1" applyAlignment="1" pivotButton="0" quotePrefix="0" xfId="0">
      <alignment horizontal="center" vertical="top" wrapText="1"/>
    </xf>
    <xf numFmtId="0" fontId="1" fillId="15" borderId="1" applyAlignment="1" pivotButton="0" quotePrefix="0" xfId="0">
      <alignment horizontal="left" vertical="top" wrapText="1"/>
    </xf>
    <xf numFmtId="14" fontId="1" fillId="15" borderId="1" applyAlignment="1" pivotButton="0" quotePrefix="0" xfId="0">
      <alignment horizontal="center" vertical="top" wrapText="1"/>
    </xf>
    <xf numFmtId="0" fontId="14" fillId="0" borderId="0" pivotButton="0" quotePrefix="0" xfId="0"/>
    <xf numFmtId="0" fontId="15" fillId="0" borderId="0" pivotButton="0" quotePrefix="0" xfId="0"/>
    <xf numFmtId="0" fontId="9" fillId="16" borderId="1" applyAlignment="1" pivotButton="0" quotePrefix="0" xfId="0">
      <alignment horizontal="left" vertical="center" wrapText="1"/>
    </xf>
    <xf numFmtId="9" fontId="1" fillId="3" borderId="1" applyAlignment="1" pivotButton="0" quotePrefix="0" xfId="0">
      <alignment horizontal="center" vertical="top" wrapText="1"/>
    </xf>
    <xf numFmtId="0" fontId="10" fillId="17" borderId="1" applyAlignment="1" pivotButton="0" quotePrefix="0" xfId="0">
      <alignment horizontal="left" vertical="top" wrapText="1"/>
    </xf>
    <xf numFmtId="0" fontId="1" fillId="17" borderId="1" applyAlignment="1" pivotButton="0" quotePrefix="0" xfId="0">
      <alignment horizontal="center" vertical="top" wrapText="1"/>
    </xf>
    <xf numFmtId="9" fontId="1" fillId="17" borderId="1" applyAlignment="1" pivotButton="0" quotePrefix="0" xfId="0">
      <alignment horizontal="center" vertical="top" wrapText="1"/>
    </xf>
    <xf numFmtId="0" fontId="10" fillId="18" borderId="1" applyAlignment="1" pivotButton="0" quotePrefix="0" xfId="0">
      <alignment horizontal="left" vertical="top" wrapText="1"/>
    </xf>
    <xf numFmtId="0" fontId="10" fillId="18" borderId="1" applyAlignment="1" pivotButton="0" quotePrefix="0" xfId="0">
      <alignment horizontal="center" vertical="top" wrapText="1"/>
    </xf>
    <xf numFmtId="9" fontId="10" fillId="18" borderId="1" applyAlignment="1" pivotButton="0" quotePrefix="0" xfId="0">
      <alignment horizontal="center" vertical="top" wrapText="1"/>
    </xf>
    <xf numFmtId="0" fontId="16" fillId="0" borderId="0" pivotButton="0" quotePrefix="0" xfId="0"/>
    <xf numFmtId="0" fontId="11" fillId="0" borderId="0" pivotButton="0" quotePrefix="0" xfId="0"/>
    <xf numFmtId="0" fontId="17" fillId="19" borderId="2" pivotButton="0" quotePrefix="0" xfId="0"/>
    <xf numFmtId="0" fontId="0" fillId="0" borderId="3" pivotButton="0" quotePrefix="0" xfId="0"/>
    <xf numFmtId="0" fontId="18" fillId="0" borderId="0" pivotButton="0" quotePrefix="0" xfId="0"/>
    <xf numFmtId="0" fontId="13" fillId="0" borderId="0" applyAlignment="1" pivotButton="0" quotePrefix="0" xfId="0">
      <alignment horizontal="center"/>
    </xf>
    <xf numFmtId="0" fontId="19" fillId="20" borderId="4" applyAlignment="1" pivotButton="0" quotePrefix="0" xfId="0">
      <alignment vertical="center" wrapText="1"/>
    </xf>
    <xf numFmtId="0" fontId="20" fillId="8" borderId="4" pivotButton="0" quotePrefix="0" xfId="0"/>
    <xf numFmtId="0" fontId="21" fillId="8" borderId="4" applyAlignment="1" pivotButton="0" quotePrefix="0" xfId="0">
      <alignment horizontal="center"/>
    </xf>
    <xf numFmtId="0" fontId="21" fillId="8" borderId="4" pivotButton="0" quotePrefix="0" xfId="0"/>
    <xf numFmtId="0" fontId="22" fillId="0" borderId="0" pivotButton="0" quotePrefix="0" xfId="0"/>
    <xf numFmtId="0" fontId="23" fillId="0" borderId="0" pivotButton="0" quotePrefix="0" xfId="0"/>
    <xf numFmtId="0" fontId="9" fillId="19" borderId="4" applyAlignment="1" pivotButton="0" quotePrefix="0" xfId="0">
      <alignment horizontal="center" vertical="center" wrapText="1"/>
    </xf>
    <xf numFmtId="0" fontId="24" fillId="21" borderId="4" applyAlignment="1" pivotButton="0" quotePrefix="0" xfId="0">
      <alignment vertical="top" wrapText="1"/>
    </xf>
    <xf numFmtId="0" fontId="25" fillId="0" borderId="4" applyAlignment="1" pivotButton="0" quotePrefix="0" xfId="0">
      <alignment horizontal="center" vertical="center" wrapText="1"/>
    </xf>
    <xf numFmtId="0" fontId="26" fillId="0" borderId="4" applyAlignment="1" pivotButton="0" quotePrefix="0" xfId="0">
      <alignment vertical="top" wrapText="1"/>
    </xf>
    <xf numFmtId="0" fontId="26" fillId="0" borderId="4" applyAlignment="1" pivotButton="0" quotePrefix="0" xfId="0">
      <alignment horizontal="center" vertical="center"/>
    </xf>
    <xf numFmtId="0" fontId="24" fillId="22" borderId="4" applyAlignment="1" pivotButton="0" quotePrefix="0" xfId="0">
      <alignment vertical="top" wrapText="1"/>
    </xf>
    <xf numFmtId="0" fontId="24" fillId="23" borderId="4" applyAlignment="1" pivotButton="0" quotePrefix="0" xfId="0">
      <alignment vertical="top" wrapText="1"/>
    </xf>
    <xf numFmtId="0" fontId="24" fillId="24" borderId="4" applyAlignment="1" pivotButton="0" quotePrefix="0" xfId="0">
      <alignment vertical="top" wrapText="1"/>
    </xf>
    <xf numFmtId="0" fontId="27" fillId="0" borderId="0" pivotButton="0" quotePrefix="0" xfId="0"/>
    <xf numFmtId="0" fontId="9" fillId="25" borderId="4" applyAlignment="1" pivotButton="0" quotePrefix="0" xfId="0">
      <alignment horizontal="center" vertical="center" wrapText="1"/>
    </xf>
    <xf numFmtId="0" fontId="25" fillId="0" borderId="4" applyAlignment="1" pivotButton="0" quotePrefix="0" xfId="0">
      <alignment horizontal="center" vertical="top" wrapText="1"/>
    </xf>
    <xf numFmtId="0" fontId="26" fillId="0" borderId="4" applyAlignment="1" pivotButton="0" quotePrefix="0" xfId="0">
      <alignment horizontal="center" vertical="top" wrapText="1"/>
    </xf>
    <xf numFmtId="0" fontId="27" fillId="0" borderId="0" applyAlignment="1" pivotButton="0" quotePrefix="0" xfId="0">
      <alignment vertical="top" wrapText="1"/>
    </xf>
    <xf numFmtId="0" fontId="23" fillId="0" borderId="0" applyAlignment="1" pivotButton="0" quotePrefix="0" xfId="0">
      <alignment horizontal="left" vertical="center"/>
    </xf>
    <xf numFmtId="0" fontId="9" fillId="26" borderId="5" applyAlignment="1" pivotButton="0" quotePrefix="0" xfId="0">
      <alignment horizontal="center" vertical="center" wrapText="1"/>
    </xf>
    <xf numFmtId="0" fontId="24" fillId="27" borderId="5" applyAlignment="1" pivotButton="0" quotePrefix="0" xfId="0">
      <alignment horizontal="left" vertical="top" wrapText="1"/>
    </xf>
    <xf numFmtId="0" fontId="26" fillId="0" borderId="5" applyAlignment="1" pivotButton="0" quotePrefix="0" xfId="0">
      <alignment horizontal="left" vertical="top" wrapText="1"/>
    </xf>
    <xf numFmtId="0" fontId="25" fillId="0" borderId="5" applyAlignment="1" pivotButton="0" quotePrefix="0" xfId="0">
      <alignment horizontal="left" vertical="top" wrapText="1"/>
    </xf>
    <xf numFmtId="0" fontId="28" fillId="0" borderId="5" applyAlignment="1" pivotButton="0" quotePrefix="0" xfId="0">
      <alignment horizontal="center" vertical="top" wrapText="1"/>
    </xf>
    <xf numFmtId="0" fontId="25" fillId="0" borderId="5" applyAlignment="1" pivotButton="0" quotePrefix="0" xfId="0">
      <alignment horizontal="center" vertical="top" wrapText="1"/>
    </xf>
    <xf numFmtId="0" fontId="29" fillId="0" borderId="0" applyAlignment="1" pivotButton="0" quotePrefix="0" xfId="0">
      <alignment horizontal="left" vertical="top" wrapText="1"/>
    </xf>
    <xf numFmtId="0" fontId="0" fillId="0" borderId="8" pivotButton="0" quotePrefix="0" xfId="0"/>
    <xf numFmtId="0" fontId="0" fillId="0" borderId="9" pivotButton="0" quotePrefix="0" xfId="0"/>
    <xf numFmtId="164" fontId="1" fillId="3" borderId="1" applyAlignment="1" pivotButton="0" quotePrefix="0" xfId="0">
      <alignment horizontal="left" vertical="top" wrapText="1"/>
    </xf>
    <xf numFmtId="0" fontId="0" fillId="0" borderId="11"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sheetPr filterMode="0">
    <outlinePr applyStyles="0" summaryBelow="1" summaryRight="1" showOutlineSymbols="1"/>
    <pageSetUpPr autoPageBreaks="1" fitToPage="0"/>
  </sheetPr>
  <dimension ref="A2:F39"/>
  <sheetViews>
    <sheetView showFormulas="0" showGridLines="0" showRowColHeaders="1" showZeros="1" rightToLeft="0" view="normal" topLeftCell="A22" zoomScale="100" workbookViewId="0">
      <selection activeCell="A1" activeCellId="0" sqref="A1"/>
    </sheetView>
  </sheetViews>
  <sheetFormatPr baseColWidth="8" defaultColWidth="8.6796875" defaultRowHeight="14.25"/>
  <cols>
    <col width="2" customWidth="1" style="1" min="1" max="1"/>
    <col width="28" customWidth="1" style="1" min="2" max="2"/>
    <col width="95" customWidth="1" style="1" min="3" max="3"/>
  </cols>
  <sheetData>
    <row r="2" ht="21.75" customHeight="1" s="1">
      <c r="B2" s="2" t="inlineStr">
        <is>
          <t>AI Governance Playbook &amp; Runbook</t>
        </is>
      </c>
    </row>
    <row r="3" ht="15" customHeight="1" s="1">
      <c r="B3" s="3" t="inlineStr">
        <is>
          <t>An operating manual for managing AI risk across the lifecycle — built for a MAS-regulated financial institution.</t>
        </is>
      </c>
    </row>
    <row r="5" ht="15" customHeight="1" s="1">
      <c r="B5" s="4" t="n"/>
      <c r="C5" s="5" t="n"/>
    </row>
    <row r="6" ht="15" customHeight="1" s="1">
      <c r="B6" s="6" t="inlineStr">
        <is>
          <t>What this is</t>
        </is>
      </c>
    </row>
    <row r="7" ht="25.5" customHeight="1" s="1">
      <c r="B7" s="4" t="inlineStr">
        <is>
          <t>Purpose</t>
        </is>
      </c>
      <c r="C7" s="5" t="inlineStr">
        <is>
          <t>Turns the ISO 42001 / NIST AI RMF / MAS control sets into something a team runs day-to-day: defined roles, lifecycle plays with step-by-step runbooks, living control trackers, a stress-test tracker, and a maturity dashboard.</t>
        </is>
      </c>
    </row>
    <row r="8" ht="15" customHeight="1" s="1">
      <c r="B8" s="4" t="n"/>
      <c r="C8" s="5" t="n"/>
    </row>
    <row r="9" ht="15" customHeight="1" s="1">
      <c r="B9" s="6" t="inlineStr">
        <is>
          <t>The tabs, and how they connect</t>
        </is>
      </c>
    </row>
    <row r="10" ht="25.5" customHeight="1" s="1">
      <c r="B10" s="4" t="inlineStr">
        <is>
          <t>Roles &amp; RACI</t>
        </is>
      </c>
      <c r="C10" s="5" t="inlineStr">
        <is>
          <t>Defines who does what, on a three-lines-of-defence model. Every play and control references these roles. Start here — ownership is the spine of the playbook.</t>
        </is>
      </c>
    </row>
    <row r="11" ht="38.25" customHeight="1" s="1">
      <c r="B11" s="4" t="inlineStr">
        <is>
          <t>Playbooks &amp; Runbooks</t>
        </is>
      </c>
      <c r="C11" s="5" t="inlineStr">
        <is>
          <t>10 lifecycle plays (intake -&gt; impact assessment -&gt; validation -&gt; deployment -&gt; monitoring -&gt; incident -&gt; third-party -&gt; review -&gt; decommission -&gt; stress-test). Each play has a trigger, owner, ordered steps, evidence, and the controls it satisfies.</t>
        </is>
      </c>
    </row>
    <row r="12" ht="25.5" customHeight="1" s="1">
      <c r="B12" s="4" t="inlineStr">
        <is>
          <t>Control Library (ISO / NIST / MAS)</t>
        </is>
      </c>
      <c r="C12" s="5" t="inlineStr">
        <is>
          <t>The full control catalogues, now as trackers: assign an owner, set status &amp; maturity, record evidence and review dates. These are the 'what'; the plays are the 'how'.</t>
        </is>
      </c>
    </row>
    <row r="13" ht="15" customHeight="1" s="1">
      <c r="B13" s="4" t="inlineStr">
        <is>
          <t>Stress-Test Tracker</t>
        </is>
      </c>
      <c r="C13" s="5" t="inlineStr">
        <is>
          <t>The hotspot register (10 core + SAFR runtime) as a live test register: owner, cadence, last run, result, residual risk, next run.</t>
        </is>
      </c>
    </row>
    <row r="14" ht="15" customHeight="1" s="1">
      <c r="B14" s="4" t="inlineStr">
        <is>
          <t>Maturity Dashboard</t>
        </is>
      </c>
      <c r="C14" s="5" t="inlineStr">
        <is>
          <t>Rolls up status and maturity across the control library so you can see readiness at a glance and report it upward.</t>
        </is>
      </c>
    </row>
    <row r="15" ht="15" customHeight="1" s="1">
      <c r="B15" s="4" t="n"/>
      <c r="C15" s="5" t="n"/>
    </row>
    <row r="16" ht="15" customHeight="1" s="1">
      <c r="B16" s="6" t="inlineStr">
        <is>
          <t>Suggested operating cadence</t>
        </is>
      </c>
    </row>
    <row r="17" ht="15" customHeight="1" s="1">
      <c r="B17" s="4" t="inlineStr">
        <is>
          <t>On every new AI use-case</t>
        </is>
      </c>
      <c r="C17" s="5" t="inlineStr">
        <is>
          <t>Run Play 1 (Intake &amp; Triage). Materiality decides how much of Plays 2-4 apply.</t>
        </is>
      </c>
    </row>
    <row r="18" ht="15" customHeight="1" s="1">
      <c r="B18" s="4" t="inlineStr">
        <is>
          <t>Continuously / monthly</t>
        </is>
      </c>
      <c r="C18" s="5" t="inlineStr">
        <is>
          <t>Play 5 (Monitoring); review Stress-Test Tracker items due.</t>
        </is>
      </c>
    </row>
    <row r="19" ht="15" customHeight="1" s="1">
      <c r="B19" s="4" t="inlineStr">
        <is>
          <t>On event</t>
        </is>
      </c>
      <c r="C19" s="5" t="inlineStr">
        <is>
          <t>Play 6 (Incident), Play 7 (Third-party onboarding / vendor change), Play 9 (Decommission).</t>
        </is>
      </c>
    </row>
    <row r="20" ht="15" customHeight="1" s="1">
      <c r="B20" s="4" t="inlineStr">
        <is>
          <t>Quarterly</t>
        </is>
      </c>
      <c r="C20" s="5" t="inlineStr">
        <is>
          <t>Play 10 (Stress-test cycle); refresh Maturity Dashboard; AI Risk Committee review.</t>
        </is>
      </c>
    </row>
    <row r="21" ht="15" customHeight="1" s="1">
      <c r="B21" s="4" t="inlineStr">
        <is>
          <t>Annually / on material change</t>
        </is>
      </c>
      <c r="C21" s="5" t="inlineStr">
        <is>
          <t>Play 8 (Periodic review &amp; re-validation); refresh AI policy (ISO A.2.4).</t>
        </is>
      </c>
    </row>
    <row r="22" ht="15" customHeight="1" s="1">
      <c r="B22" s="4" t="n"/>
      <c r="C22" s="5" t="n"/>
    </row>
    <row r="23" ht="15" customHeight="1" s="1">
      <c r="B23" s="6" t="inlineStr">
        <is>
          <t>How to use the trackers</t>
        </is>
      </c>
    </row>
    <row r="24" ht="25.5" customHeight="1" s="1">
      <c r="B24" s="4" t="inlineStr">
        <is>
          <t>Dropdowns</t>
        </is>
      </c>
      <c r="C24" s="5" t="inlineStr">
        <is>
          <t>Status, Maturity (1-5), test Result and Residual risk are dropdown cells — pick from the list. The dashboard reads these automatically.</t>
        </is>
      </c>
    </row>
    <row r="25" ht="15" customHeight="1" s="1">
      <c r="B25" s="4" t="inlineStr">
        <is>
          <t>Owners</t>
        </is>
      </c>
      <c r="C25" s="5" t="inlineStr">
        <is>
          <t>Default owner roles are pre-filled as a starting point; reassign to named individuals/teams for your org.</t>
        </is>
      </c>
    </row>
    <row r="26" ht="38.25" customHeight="1" s="1">
      <c r="B26" s="4" t="inlineStr">
        <is>
          <t>Caveat</t>
        </is>
      </c>
      <c r="C26" s="5" t="inlineStr">
        <is>
          <t>Control text is a working summary, not verbatim standard wording. MAS AIRG is a proposed guideline (Consultation Paper P017-2025, Nov 2025); public consultation closed 31 Jan 2026, with a 12-month transition period running from the eventual issuance date — it is not yet in force. Calibrate cadence and gates to your own risk appetite and MAS supervisory expectations.</t>
        </is>
      </c>
    </row>
    <row r="28" ht="15" customHeight="1" s="1">
      <c r="A28" s="7" t="inlineStr">
        <is>
          <t>Update — IMDA MGF for Agentic AI</t>
        </is>
      </c>
      <c r="B28" s="6" t="n"/>
    </row>
    <row r="29" ht="43.5" customHeight="1" s="1">
      <c r="B29" s="4" t="inlineStr">
        <is>
          <t>Control Library - MGF Agentic</t>
        </is>
      </c>
      <c r="C29" s="5" t="inlineStr">
        <is>
          <t>34 agentic-AI controls (4 MGF dimensions) as a tracker, with Weight &amp; Weighted-maturity columns and links to the plays. Feeds the dashboard alongside ISO/NIST/MAS.</t>
        </is>
      </c>
    </row>
    <row r="30" ht="43.5" customHeight="1" s="1">
      <c r="B30" s="4" t="inlineStr">
        <is>
          <t>Play 11 — Agentic Operation &amp; Human Oversight</t>
        </is>
      </c>
      <c r="C30" s="5" t="inlineStr">
        <is>
          <t>New play housing the agent-specific runtime practices (end-user disclosure &amp; training, automation-bias monitoring, red-team review) that don't fit the model-lifecycle plays.</t>
        </is>
      </c>
    </row>
    <row r="31" ht="14.25" customHeight="1" s="1">
      <c r="A31" s="7" t="inlineStr">
        <is>
          <t>Update — FEAT operationalised</t>
        </is>
      </c>
      <c r="B31" s="6" t="n"/>
    </row>
    <row r="32" ht="38.25" customHeight="1" s="1">
      <c r="C32" s="5" t="inlineStr">
        <is>
          <t>FEAT (F1-F4) is now wired into the operating cadence: assessed in Play 2, gated in Plays 3/4, re-assessed in Plays 5/8, per the FEAT Assessment Methodology (Veritas-aligned) which defines the fairness/ethics/transparency assessments and high-materiality model validation.</t>
        </is>
      </c>
    </row>
    <row r="33" ht="14.25" customHeight="1" s="1">
      <c r="A33" s="7" t="inlineStr">
        <is>
          <t>Update — MAS SAFR (Runtime safeguards)</t>
        </is>
      </c>
    </row>
    <row r="34" ht="14.25" customHeight="1" s="1">
      <c r="B34" s="4" t="inlineStr">
        <is>
          <t>Control Library - SAFR</t>
        </is>
      </c>
      <c r="C34" s="5" t="inlineStr">
        <is>
          <t>21 runtime safeguards across the 4 SAFR principles as a tracker — feeds the dashboard alongside ISO/NIST/MAS/MGF. The runtime companion to the MGF agentic controls (mapped to MAS AIRG, ISO 42001 and NIST AI RMF).</t>
        </is>
      </c>
    </row>
    <row r="35" ht="25.5" customHeight="1" s="1">
      <c r="B35" s="4" t="inlineStr">
        <is>
          <t>Operationalised at the point of action</t>
        </is>
      </c>
      <c r="C35" s="5" t="inlineStr">
        <is>
          <t>Most SAFR controls link to Play 11 (Agentic Operation &amp; Human Oversight), with mandate/design in Play 3, monitoring in Play 5 and third-party agents in Play 7.</t>
        </is>
      </c>
    </row>
    <row r="36" ht="15" customHeight="1" s="1"/>
    <row r="37" ht="15" customHeight="1" s="1">
      <c r="B37" s="7" t="inlineStr">
        <is>
          <t>Prepared by</t>
        </is>
      </c>
      <c r="C37" s="8" t="inlineStr">
        <is>
          <t>Wu Yen Ching / wuyenching087@gmail.com</t>
        </is>
      </c>
    </row>
    <row r="38" ht="15" customHeight="1" s="1">
      <c r="B38" s="7" t="inlineStr">
        <is>
          <t>Date</t>
        </is>
      </c>
      <c r="C38" s="8" t="inlineStr">
        <is>
          <t>June 2026</t>
        </is>
      </c>
    </row>
    <row r="39" ht="15" customHeight="1" s="1">
      <c r="B39" s="7" t="inlineStr">
        <is>
          <t>Classification</t>
        </is>
      </c>
      <c r="C39" s="8" t="inlineStr">
        <is>
          <t>Proprietary &amp; Confidential</t>
        </is>
      </c>
    </row>
  </sheetData>
  <mergeCells count="3">
    <mergeCell ref="C35:F35"/>
    <mergeCell ref="C36:F36"/>
    <mergeCell ref="C34:F34"/>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2.xml><?xml version="1.0" encoding="utf-8"?>
<worksheet xmlns="http://schemas.openxmlformats.org/spreadsheetml/2006/main">
  <sheetPr filterMode="0">
    <outlinePr applyStyles="0" summaryBelow="1" summaryRight="1" showOutlineSymbols="1"/>
    <pageSetUpPr autoPageBreaks="1" fitToPage="0"/>
  </sheetPr>
  <dimension ref="A1:D14"/>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baseColWidth="8" defaultColWidth="8.6796875" defaultRowHeight="15"/>
  <cols>
    <col width="20" customWidth="1" style="1" min="1" max="1"/>
    <col width="30" customWidth="1" style="1" min="2" max="2"/>
    <col width="70" customWidth="1" style="1" min="3" max="3"/>
    <col width="30" customWidth="1" style="1" min="4" max="4"/>
  </cols>
  <sheetData>
    <row r="1" ht="15.75" customHeight="1" s="1">
      <c r="A1" s="9" t="inlineStr">
        <is>
          <t>Roles &amp; Responsibilities (Three Lines of Defence)</t>
        </is>
      </c>
    </row>
    <row r="3" ht="15" customHeight="1" s="1">
      <c r="A3" s="10" t="inlineStr">
        <is>
          <t>Line</t>
        </is>
      </c>
      <c r="B3" s="10" t="inlineStr">
        <is>
          <t>Role</t>
        </is>
      </c>
      <c r="C3" s="10" t="inlineStr">
        <is>
          <t>Core responsibilities in AI governance</t>
        </is>
      </c>
      <c r="D3" s="10" t="inlineStr">
        <is>
          <t>RACI emphasis</t>
        </is>
      </c>
    </row>
    <row r="4" ht="54" customHeight="1" s="1">
      <c r="A4" s="11" t="inlineStr">
        <is>
          <t>Board / Board Risk Cttee</t>
        </is>
      </c>
      <c r="B4" s="11" t="inlineStr">
        <is>
          <t>Board</t>
        </is>
      </c>
      <c r="C4" s="12" t="inlineStr">
        <is>
          <t>Ultimate accountability for AI risk; approves AI risk appetite &amp; policy; oversees that management runs an effective AI risk framework.</t>
        </is>
      </c>
      <c r="D4" s="12" t="inlineStr">
        <is>
          <t>Accountable (appetite, policy)</t>
        </is>
      </c>
    </row>
    <row r="5" ht="54" customHeight="1" s="1">
      <c r="A5" s="13" t="inlineStr">
        <is>
          <t>Senior Mgmt</t>
        </is>
      </c>
      <c r="B5" s="13" t="inlineStr">
        <is>
          <t>AI Risk / Model Governance Committee</t>
        </is>
      </c>
      <c r="C5" s="14" t="inlineStr">
        <is>
          <t>Owns the AI risk management framework; approves high-materiality use-cases and risk acceptances; reviews monitoring &amp; incident reporting.</t>
        </is>
      </c>
      <c r="D5" s="14" t="inlineStr">
        <is>
          <t>Accountable (high-materiality go/no-go)</t>
        </is>
      </c>
    </row>
    <row r="6" ht="54" customHeight="1" s="1">
      <c r="A6" s="11" t="inlineStr">
        <is>
          <t>1st line</t>
        </is>
      </c>
      <c r="B6" s="11" t="inlineStr">
        <is>
          <t>Business / Model Owner</t>
        </is>
      </c>
      <c r="C6" s="12" t="inlineStr">
        <is>
          <t>Owns the use-case and its outcomes; accountable for intended use, risk acceptance at unit level, and day-to-day operation.</t>
        </is>
      </c>
      <c r="D6" s="12" t="inlineStr">
        <is>
          <t>Responsible / Accountable (use-case)</t>
        </is>
      </c>
    </row>
    <row r="7" ht="54" customHeight="1" s="1">
      <c r="A7" s="13" t="inlineStr">
        <is>
          <t>1st line</t>
        </is>
      </c>
      <c r="B7" s="13" t="inlineStr">
        <is>
          <t>Model Developer / Data Science</t>
        </is>
      </c>
      <c r="C7" s="14" t="inlineStr">
        <is>
          <t>Designs, builds, documents and tests the model; implements responsible-AI design requirements.</t>
        </is>
      </c>
      <c r="D7" s="14" t="inlineStr">
        <is>
          <t>Responsible (build, document)</t>
        </is>
      </c>
    </row>
    <row r="8" ht="54" customHeight="1" s="1">
      <c r="A8" s="11" t="inlineStr">
        <is>
          <t>1st line</t>
        </is>
      </c>
      <c r="B8" s="11" t="inlineStr">
        <is>
          <t>Data Owner / Steward</t>
        </is>
      </c>
      <c r="C8" s="12" t="inlineStr">
        <is>
          <t>Accountable for data quality, representativeness, lineage, provenance and data rights for AI.</t>
        </is>
      </c>
      <c r="D8" s="12" t="inlineStr">
        <is>
          <t>Responsible (data)</t>
        </is>
      </c>
    </row>
    <row r="9" ht="54" customHeight="1" s="1">
      <c r="A9" s="13" t="inlineStr">
        <is>
          <t>2nd line</t>
        </is>
      </c>
      <c r="B9" s="13" t="inlineStr">
        <is>
          <t>AI Risk / Model Risk Mgmt</t>
        </is>
      </c>
      <c r="C9" s="14" t="inlineStr">
        <is>
          <t>Independent oversight; sets materiality methodology, maintains framework &amp; inventory standards, challenges 1st line.</t>
        </is>
      </c>
      <c r="D9" s="14" t="inlineStr">
        <is>
          <t>Responsible (oversight, triage)</t>
        </is>
      </c>
    </row>
    <row r="10" ht="54" customHeight="1" s="1">
      <c r="A10" s="11" t="inlineStr">
        <is>
          <t>2nd line</t>
        </is>
      </c>
      <c r="B10" s="11" t="inlineStr">
        <is>
          <t>Independent Validation</t>
        </is>
      </c>
      <c r="C10" s="12" t="inlineStr">
        <is>
          <t>Validates models independently of developers; issues validation opinion before deployment and at re-validation.</t>
        </is>
      </c>
      <c r="D10" s="12" t="inlineStr">
        <is>
          <t>Responsible (validation)</t>
        </is>
      </c>
    </row>
    <row r="11" ht="54" customHeight="1" s="1">
      <c r="A11" s="13" t="inlineStr">
        <is>
          <t>2nd line</t>
        </is>
      </c>
      <c r="B11" s="13" t="inlineStr">
        <is>
          <t>Compliance &amp; Legal</t>
        </is>
      </c>
      <c r="C11" s="14" t="inlineStr">
        <is>
          <t>Maps regulatory obligations (MAS, PDPA, EU AI Act); reviews disclosures and external reporting.</t>
        </is>
      </c>
      <c r="D11" s="14" t="inlineStr">
        <is>
          <t>Consulted (regulatory)</t>
        </is>
      </c>
    </row>
    <row r="12" ht="54" customHeight="1" s="1">
      <c r="A12" s="11" t="inlineStr">
        <is>
          <t>2nd line</t>
        </is>
      </c>
      <c r="B12" s="11" t="inlineStr">
        <is>
          <t>Data Protection Officer</t>
        </is>
      </c>
      <c r="C12" s="12" t="inlineStr">
        <is>
          <t>Owns privacy impact (DPIA) and personal-data handling for AI systems.</t>
        </is>
      </c>
      <c r="D12" s="12" t="inlineStr">
        <is>
          <t>Consulted (privacy)</t>
        </is>
      </c>
    </row>
    <row r="13" ht="54" customHeight="1" s="1">
      <c r="A13" s="13" t="inlineStr">
        <is>
          <t>2nd line</t>
        </is>
      </c>
      <c r="B13" s="13" t="inlineStr">
        <is>
          <t>InfoSec / Cybersecurity</t>
        </is>
      </c>
      <c r="C13" s="14" t="inlineStr">
        <is>
          <t>AI-specific security, red-teaming, adversarial testing and technology controls.</t>
        </is>
      </c>
      <c r="D13" s="14" t="inlineStr">
        <is>
          <t>Responsible (security testing)</t>
        </is>
      </c>
    </row>
    <row r="14" ht="54" customHeight="1" s="1">
      <c r="A14" s="11" t="inlineStr">
        <is>
          <t>3rd line</t>
        </is>
      </c>
      <c r="B14" s="11" t="inlineStr">
        <is>
          <t>Internal Audit</t>
        </is>
      </c>
      <c r="C14" s="12" t="inlineStr">
        <is>
          <t>Independent assurance over the AI governance framework and its operation; not involved in design/run.</t>
        </is>
      </c>
      <c r="D14" s="12" t="inlineStr">
        <is>
          <t>Consulted / Informed (assurance)</t>
        </is>
      </c>
    </row>
  </sheetData>
  <mergeCells count="1">
    <mergeCell ref="A1:D1"/>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3.xml><?xml version="1.0" encoding="utf-8"?>
<worksheet xmlns="http://schemas.openxmlformats.org/spreadsheetml/2006/main">
  <sheetPr filterMode="0">
    <outlinePr applyStyles="0" summaryBelow="1" summaryRight="1" showOutlineSymbols="1"/>
    <pageSetUpPr autoPageBreaks="1" fitToPage="0"/>
  </sheetPr>
  <dimension ref="A1:F68"/>
  <sheetViews>
    <sheetView showFormulas="0" showGridLines="0" showRowColHeaders="1" showZeros="1" rightToLeft="0" view="normal" topLeftCell="A1" zoomScale="100" workbookViewId="0">
      <pane ySplit="4" topLeftCell="A5" activePane="bottomLeft" state="frozen"/>
      <selection activeCell="A1" activeCellId="0" sqref="A1"/>
    </sheetView>
  </sheetViews>
  <sheetFormatPr baseColWidth="8" defaultColWidth="8.6796875" defaultRowHeight="14.25"/>
  <cols>
    <col width="20" customWidth="1" style="1" min="1" max="1"/>
    <col width="24" customWidth="1" style="1" min="2" max="2"/>
    <col width="58" customWidth="1" style="1" min="3" max="3"/>
    <col width="18" customWidth="1" style="1" min="4" max="4"/>
    <col width="26" customWidth="1" style="1" min="5" max="5"/>
    <col width="40" customWidth="1" style="1" min="6" max="6"/>
  </cols>
  <sheetData>
    <row r="1" ht="15.75" customHeight="1" s="1">
      <c r="A1" s="9" t="inlineStr">
        <is>
          <t>AI Governance Playbooks &amp; Runbooks — 10 Lifecycle Plays</t>
        </is>
      </c>
    </row>
    <row r="2" ht="27.75" customHeight="1" s="1">
      <c r="A2" s="15" t="inlineStr">
        <is>
          <t>Each play opens with a header row (trigger, frequency, accountable owner, exit gate), followed by its ordered runbook steps. Filter on column A to jump to a play.</t>
        </is>
      </c>
    </row>
    <row r="4" ht="15" customHeight="1" s="1">
      <c r="A4" s="16" t="inlineStr">
        <is>
          <t>Play / Step</t>
        </is>
      </c>
      <c r="B4" s="16" t="inlineStr">
        <is>
          <t>Step owner (role)</t>
        </is>
      </c>
      <c r="C4" s="16" t="inlineStr">
        <is>
          <t>Action / procedure</t>
        </is>
      </c>
      <c r="D4" s="16" t="inlineStr">
        <is>
          <t>Trigger / cadence</t>
        </is>
      </c>
      <c r="E4" s="16" t="inlineStr">
        <is>
          <t>Evidence / output</t>
        </is>
      </c>
      <c r="F4" s="16" t="inlineStr">
        <is>
          <t>Controls satisfied (ISO | NIST | MAS | MGF)</t>
        </is>
      </c>
    </row>
    <row r="5" ht="45.75" customHeight="1" s="1">
      <c r="A5" s="17" t="inlineStr">
        <is>
          <t>PLAY 1 — AI Use-Case Intake &amp; Triage</t>
        </is>
      </c>
      <c r="B5" s="18" t="inlineStr">
        <is>
          <t>Trigger: New AI/ML/GenAI use-case proposed, or material change to an existing one    |    Frequency: On event    |    Owner — A: AI Risk Committee | R: Model Owner    |    Exit gate: Use-case registered &amp; risk-tiered; documented go/no-go to proceed</t>
        </is>
      </c>
      <c r="C5" s="84" t="n"/>
      <c r="D5" s="84" t="n"/>
      <c r="E5" s="85" t="n"/>
      <c r="F5" s="17" t="inlineStr">
        <is>
          <t>ISO A.4.2, A.5.2 | NIST GOVERN 1.6, MAP 1.1 | MAS M2.1, M2.2, M2.3 | MGF D1.1, D1.2, D1.6</t>
        </is>
      </c>
    </row>
    <row r="6" ht="42" customHeight="1" s="1">
      <c r="A6" s="19" t="inlineStr">
        <is>
          <t xml:space="preserve">  Step 1</t>
        </is>
      </c>
      <c r="B6" s="20" t="inlineStr">
        <is>
          <t>Business / Model Owner</t>
        </is>
      </c>
      <c r="C6" s="20" t="inlineStr">
        <is>
          <t>Submit AI use-case intake form: purpose, data used, users, decisions affected, expected benefits.</t>
        </is>
      </c>
      <c r="D6" s="20" t="inlineStr">
        <is>
          <t>On event</t>
        </is>
      </c>
      <c r="E6" s="20" t="inlineStr">
        <is>
          <t>Intake form</t>
        </is>
      </c>
      <c r="F6" s="20" t="n"/>
    </row>
    <row r="7" ht="42" customHeight="1" s="1">
      <c r="A7" s="11" t="inlineStr">
        <is>
          <t xml:space="preserve">  Step 2</t>
        </is>
      </c>
      <c r="B7" s="12" t="inlineStr">
        <is>
          <t>AI Risk (2nd line)</t>
        </is>
      </c>
      <c r="C7" s="12" t="inlineStr">
        <is>
          <t>Register the use-case in the central AI inventory with dependencies and ownership.</t>
        </is>
      </c>
      <c r="D7" s="12" t="n"/>
      <c r="E7" s="12" t="inlineStr">
        <is>
          <t>AI inventory entry</t>
        </is>
      </c>
      <c r="F7" s="12" t="n"/>
    </row>
    <row r="8" ht="42" customHeight="1" s="1">
      <c r="A8" s="19" t="inlineStr">
        <is>
          <t xml:space="preserve">  Step 3</t>
        </is>
      </c>
      <c r="B8" s="20" t="inlineStr">
        <is>
          <t>AI Risk (2nd line)</t>
        </is>
      </c>
      <c r="C8" s="20" t="inlineStr">
        <is>
          <t>Run initial risk-materiality triage scoring impact x complexity x reliance.</t>
        </is>
      </c>
      <c r="D8" s="20" t="n"/>
      <c r="E8" s="20" t="inlineStr">
        <is>
          <t>Materiality score &amp; rationale</t>
        </is>
      </c>
      <c r="F8" s="20" t="n"/>
    </row>
    <row r="9" ht="42" customHeight="1" s="1">
      <c r="A9" s="11" t="inlineStr">
        <is>
          <t xml:space="preserve">  Step 4</t>
        </is>
      </c>
      <c r="B9" s="12" t="inlineStr">
        <is>
          <t>AI Risk Committee</t>
        </is>
      </c>
      <c r="C9" s="12" t="inlineStr">
        <is>
          <t>Route by materiality: low -&gt; streamlined path; high -&gt; full impact assessment + committee review.</t>
        </is>
      </c>
      <c r="D9" s="12" t="n"/>
      <c r="E9" s="12" t="inlineStr">
        <is>
          <t>Routing decision</t>
        </is>
      </c>
      <c r="F9" s="12" t="n"/>
    </row>
    <row r="10" ht="45.75" customHeight="1" s="1">
      <c r="A10" s="17" t="inlineStr">
        <is>
          <t>PLAY 2 — AI Impact &amp; Risk Assessment</t>
        </is>
      </c>
      <c r="B10" s="18" t="inlineStr">
        <is>
          <t>Trigger: High-materiality use-case routed from intake    |    Frequency: On event    |    Owner — A: AI Risk Committee | R: AI Risk (2nd line)    |    Exit gate: Approved impact assessment with mitigations &amp; documented residual risk</t>
        </is>
      </c>
      <c r="C10" s="84" t="n"/>
      <c r="D10" s="84" t="n"/>
      <c r="E10" s="85" t="n"/>
      <c r="F10" s="17" t="inlineStr">
        <is>
          <t>ISO A.5.2-A.5.5 | NIST MAP 5.1, 5.2, MEASURE 1.1 | MAS M2.3, M2.4, M3.2 | MGF D1.1, D1.5 | FEAT F1-F4 (assess)</t>
        </is>
      </c>
    </row>
    <row r="11" ht="76.5" customHeight="1" s="1">
      <c r="A11" s="21" t="inlineStr">
        <is>
          <t xml:space="preserve">  Step 1</t>
        </is>
      </c>
      <c r="B11" s="22" t="inlineStr">
        <is>
          <t>Model Owner + AI Risk</t>
        </is>
      </c>
      <c r="C11" s="22" t="inlineStr">
        <is>
          <t>Identify affected individuals/groups and analyse impact (fairness). Trigger the FEAT assessment per the FEAT Assessment Methodology (Veritas): Ethics &amp; Accountability (F2/F3) set at org level, Fairness (F1) and Transparency (F4) run concurrently for the use case. For high-materiality use cases, initiate independent validation.</t>
        </is>
      </c>
      <c r="D11" s="22" t="inlineStr">
        <is>
          <t>On event</t>
        </is>
      </c>
      <c r="E11" s="22" t="inlineStr">
        <is>
          <t>Impact analysis</t>
        </is>
      </c>
      <c r="F11" s="22" t="n"/>
    </row>
    <row r="12" ht="42" customHeight="1" s="1">
      <c r="A12" s="11" t="inlineStr">
        <is>
          <t xml:space="preserve">  Step 2</t>
        </is>
      </c>
      <c r="B12" s="12" t="inlineStr">
        <is>
          <t>DPO</t>
        </is>
      </c>
      <c r="C12" s="12" t="inlineStr">
        <is>
          <t>Complete privacy impact assessment (DPIA) where personal data is involved.</t>
        </is>
      </c>
      <c r="D12" s="12" t="n"/>
      <c r="E12" s="12" t="inlineStr">
        <is>
          <t>DPIA</t>
        </is>
      </c>
      <c r="F12" s="12" t="n"/>
    </row>
    <row r="13" ht="42" customHeight="1" s="1">
      <c r="A13" s="19" t="inlineStr">
        <is>
          <t xml:space="preserve">  Step 3</t>
        </is>
      </c>
      <c r="B13" s="20" t="inlineStr">
        <is>
          <t>Model Owner</t>
        </is>
      </c>
      <c r="C13" s="20" t="inlineStr">
        <is>
          <t>Document foreseeable misuse, predictable failure modes and proposed mitigations.</t>
        </is>
      </c>
      <c r="D13" s="20" t="n"/>
      <c r="E13" s="20" t="inlineStr">
        <is>
          <t>Failure-mode register</t>
        </is>
      </c>
      <c r="F13" s="20" t="n"/>
    </row>
    <row r="14" ht="42" customHeight="1" s="1">
      <c r="A14" s="11" t="inlineStr">
        <is>
          <t xml:space="preserve">  Step 4</t>
        </is>
      </c>
      <c r="B14" s="12" t="inlineStr">
        <is>
          <t>AI Risk</t>
        </is>
      </c>
      <c r="C14" s="12" t="inlineStr">
        <is>
          <t>Assess societal/environmental impact for material or public-facing systems.</t>
        </is>
      </c>
      <c r="D14" s="12" t="n"/>
      <c r="E14" s="12" t="inlineStr">
        <is>
          <t>Societal-impact note</t>
        </is>
      </c>
      <c r="F14" s="12" t="n"/>
    </row>
    <row r="15" ht="42" customHeight="1" s="1">
      <c r="A15" s="19" t="inlineStr">
        <is>
          <t xml:space="preserve">  Step 5</t>
        </is>
      </c>
      <c r="B15" s="20" t="inlineStr">
        <is>
          <t>AI Risk Committee</t>
        </is>
      </c>
      <c r="C15" s="20" t="inlineStr">
        <is>
          <t>Review and sign off the impact assessment; record residual risk.</t>
        </is>
      </c>
      <c r="D15" s="20" t="n"/>
      <c r="E15" s="20" t="inlineStr">
        <is>
          <t>Signed impact assessment</t>
        </is>
      </c>
      <c r="F15" s="20" t="n"/>
    </row>
    <row r="16" ht="45.75" customHeight="1" s="1">
      <c r="A16" s="17" t="inlineStr">
        <is>
          <t>PLAY 3 — Development &amp; Validation Gate</t>
        </is>
      </c>
      <c r="B16" s="18" t="inlineStr">
        <is>
          <t>Trigger: Model development complete; pre-deployment    |    Frequency: On event    |    Owner — A: AI Risk Committee | R: Independent Validation    |    Exit gate: Independent validation sign-off; validation report filed</t>
        </is>
      </c>
      <c r="C16" s="84" t="n"/>
      <c r="D16" s="84" t="n"/>
      <c r="E16" s="85" t="n"/>
      <c r="F16" s="17" t="inlineStr">
        <is>
          <t>ISO A.6.2.2-A.6.2.4, A.7.2-A.7.6 | NIST MEASURE 2.1-2.13 | MAS M3.1, M3.3, M3.5, M3.6, M3.7, M3.8 | MGF D1.3, D1.4, D3.1-D3.9 | FEAT F1, F4</t>
        </is>
      </c>
    </row>
    <row r="17" ht="42" customHeight="1" s="1">
      <c r="A17" s="19" t="inlineStr">
        <is>
          <t xml:space="preserve">  Step 1</t>
        </is>
      </c>
      <c r="B17" s="20" t="inlineStr">
        <is>
          <t>Data Owner</t>
        </is>
      </c>
      <c r="C17" s="20" t="inlineStr">
        <is>
          <t>Sign off data quality, representativeness, lineage and provenance for training/test data.</t>
        </is>
      </c>
      <c r="D17" s="20" t="inlineStr">
        <is>
          <t>On event</t>
        </is>
      </c>
      <c r="E17" s="20" t="inlineStr">
        <is>
          <t>Data sign-off</t>
        </is>
      </c>
      <c r="F17" s="20" t="n"/>
    </row>
    <row r="18" ht="42" customHeight="1" s="1">
      <c r="A18" s="11" t="inlineStr">
        <is>
          <t xml:space="preserve">  Step 2</t>
        </is>
      </c>
      <c r="B18" s="12" t="inlineStr">
        <is>
          <t>Model Developer</t>
        </is>
      </c>
      <c r="C18" s="12" t="inlineStr">
        <is>
          <t>Document model &amp; feature selection, design decisions and requirements traceability.</t>
        </is>
      </c>
      <c r="D18" s="12" t="n"/>
      <c r="E18" s="12" t="inlineStr">
        <is>
          <t>Model documentation</t>
        </is>
      </c>
      <c r="F18" s="12" t="n"/>
    </row>
    <row r="19" ht="42" customHeight="1" s="1">
      <c r="A19" s="19" t="inlineStr">
        <is>
          <t xml:space="preserve">  Step 3</t>
        </is>
      </c>
      <c r="B19" s="20" t="inlineStr">
        <is>
          <t>Model Developer</t>
        </is>
      </c>
      <c r="C19" s="20" t="inlineStr">
        <is>
          <t>Run testing &amp; evaluation: performance, robustness, fairness/bias, security, explainability.</t>
        </is>
      </c>
      <c r="D19" s="20" t="n"/>
      <c r="E19" s="20" t="inlineStr">
        <is>
          <t>Test results</t>
        </is>
      </c>
      <c r="F19" s="20" t="n"/>
    </row>
    <row r="20" ht="42" customHeight="1" s="1">
      <c r="A20" s="11" t="inlineStr">
        <is>
          <t xml:space="preserve">  Step 4</t>
        </is>
      </c>
      <c r="B20" s="12" t="inlineStr">
        <is>
          <t>Independent Validation</t>
        </is>
      </c>
      <c r="C20" s="12" t="inlineStr">
        <is>
          <t>Independently validate the model (independent of developers); issue validation opinion.</t>
        </is>
      </c>
      <c r="D20" s="12" t="n"/>
      <c r="E20" s="12" t="inlineStr">
        <is>
          <t>Validation report</t>
        </is>
      </c>
      <c r="F20" s="12" t="n"/>
    </row>
    <row r="21" ht="51" customHeight="1" s="1">
      <c r="A21" s="17" t="inlineStr">
        <is>
          <t>PLAY 4 — Pre-Deployment Approval (Release Gate)</t>
        </is>
      </c>
      <c r="B21" s="18" t="inlineStr">
        <is>
          <t>Trigger: Validation passed; ready to deploy    |    Frequency: On event    |    Owner — A: AI Risk Committee (high-materiality) / Model Owner (low)    |    Exit gate: Documented deployment approval &amp; explicit risk acceptance</t>
        </is>
      </c>
      <c r="C21" s="84" t="n"/>
      <c r="D21" s="84" t="n"/>
      <c r="E21" s="85" t="n"/>
      <c r="F21" s="17" t="inlineStr">
        <is>
          <t>ISO A.6.2.5, A.9.2-A.9.4 | NIST MANAGE 1.1, MEASURE 2.3 | MAS M3.4, M3.9 | MGF D2.3, D2.4, D3.10 | FEAT F1-F4 (sign-off)</t>
        </is>
      </c>
    </row>
    <row r="22" ht="51" customHeight="1" s="1">
      <c r="A22" s="21" t="inlineStr">
        <is>
          <t xml:space="preserve">  Step 1</t>
        </is>
      </c>
      <c r="B22" s="22" t="inlineStr">
        <is>
          <t>Model Owner</t>
        </is>
      </c>
      <c r="C22" s="22" t="inlineStr">
        <is>
          <t>Confirm release criteria are met and deployment environment is ready, including FEAT sign-off (F1-F4) and — for high-materiality models — independent validation sign-off per the FEAT Assessment Methodology §D. No high-materiality model is released without it.</t>
        </is>
      </c>
      <c r="D22" s="22" t="inlineStr">
        <is>
          <t>On event</t>
        </is>
      </c>
      <c r="E22" s="22" t="inlineStr">
        <is>
          <t>Release checklist</t>
        </is>
      </c>
      <c r="F22" s="22" t="n"/>
    </row>
    <row r="23" ht="42" customHeight="1" s="1">
      <c r="A23" s="11" t="inlineStr">
        <is>
          <t xml:space="preserve">  Step 2</t>
        </is>
      </c>
      <c r="B23" s="12" t="inlineStr">
        <is>
          <t>Model Owner + InfoSec</t>
        </is>
      </c>
      <c r="C23" s="12" t="inlineStr">
        <is>
          <t>Confirm human-oversight design and rollback / kill-switch plan are in place.</t>
        </is>
      </c>
      <c r="D23" s="12" t="n"/>
      <c r="E23" s="12" t="inlineStr">
        <is>
          <t>Oversight &amp; rollback plan</t>
        </is>
      </c>
      <c r="F23" s="12" t="n"/>
    </row>
    <row r="24" ht="42" customHeight="1" s="1">
      <c r="A24" s="19" t="inlineStr">
        <is>
          <t xml:space="preserve">  Step 3</t>
        </is>
      </c>
      <c r="B24" s="20" t="inlineStr">
        <is>
          <t>AI Risk Committee / Model Owner</t>
        </is>
      </c>
      <c r="C24" s="20" t="inlineStr">
        <is>
          <t>Accountable owner accepts residual risk; committee approves for high-materiality.</t>
        </is>
      </c>
      <c r="D24" s="20" t="n"/>
      <c r="E24" s="20" t="inlineStr">
        <is>
          <t>Signed deployment approval</t>
        </is>
      </c>
      <c r="F24" s="20" t="n"/>
    </row>
    <row r="25" ht="45.75" customHeight="1" s="1">
      <c r="A25" s="17" t="inlineStr">
        <is>
          <t>PLAY 5 — Post-Deployment Monitoring</t>
        </is>
      </c>
      <c r="B25" s="18" t="inlineStr">
        <is>
          <t>Trigger: System is live    |    Frequency: Continuous; reviewed monthly/quarterly    |    Owner — A: Model Owner | R: AI Risk (2nd line)    |    Exit gate: Monitoring report each cycle; triggers for re-validation or retirement</t>
        </is>
      </c>
      <c r="C25" s="84" t="n"/>
      <c r="D25" s="84" t="n"/>
      <c r="E25" s="85" t="n"/>
      <c r="F25" s="17" t="inlineStr">
        <is>
          <t>ISO A.6.2.6 | NIST MEASURE 2.4, 3.1, MANAGE 4.1 | MAS M3.8, M3.10 | MGF D2.5, D2.6, D3.11-D3.14, D3.16 | FEAT F1, F4 (drift)</t>
        </is>
      </c>
    </row>
    <row r="26" ht="42" customHeight="1" s="1">
      <c r="A26" s="19" t="inlineStr">
        <is>
          <t xml:space="preserve">  Step 1</t>
        </is>
      </c>
      <c r="B26" s="20" t="inlineStr">
        <is>
          <t>Model Owner</t>
        </is>
      </c>
      <c r="C26" s="20" t="inlineStr">
        <is>
          <t>Monitor performance &amp; drift against thresholds; investigate threshold breaches.</t>
        </is>
      </c>
      <c r="D26" s="20" t="inlineStr">
        <is>
          <t>Continuous; reviewed monthly/quarterly</t>
        </is>
      </c>
      <c r="E26" s="20" t="inlineStr">
        <is>
          <t>Monitoring dashboard</t>
        </is>
      </c>
      <c r="F26" s="20" t="n"/>
    </row>
    <row r="27" ht="42" customHeight="1" s="1">
      <c r="A27" s="11" t="inlineStr">
        <is>
          <t xml:space="preserve">  Step 2</t>
        </is>
      </c>
      <c r="B27" s="12" t="inlineStr">
        <is>
          <t>AI Risk</t>
        </is>
      </c>
      <c r="C27" s="12" t="inlineStr">
        <is>
          <t>Re-check fairness/bias and confirm usage stays within intended use.</t>
        </is>
      </c>
      <c r="D27" s="12" t="n"/>
      <c r="E27" s="12" t="inlineStr">
        <is>
          <t>Periodic re-check note</t>
        </is>
      </c>
      <c r="F27" s="12" t="n"/>
    </row>
    <row r="28" ht="42" customHeight="1" s="1">
      <c r="A28" s="19" t="inlineStr">
        <is>
          <t xml:space="preserve">  Step 3</t>
        </is>
      </c>
      <c r="B28" s="20" t="inlineStr">
        <is>
          <t>AI Risk Committee</t>
        </is>
      </c>
      <c r="C28" s="20" t="inlineStr">
        <is>
          <t>Review monitoring dashboard; decide on re-validation, change or retirement.</t>
        </is>
      </c>
      <c r="D28" s="20" t="n"/>
      <c r="E28" s="20" t="inlineStr">
        <is>
          <t>Committee minutes</t>
        </is>
      </c>
      <c r="F28" s="20" t="n"/>
    </row>
    <row r="29" ht="45.75" customHeight="1" s="1">
      <c r="A29" s="17" t="inlineStr">
        <is>
          <t>PLAY 6 — AI Incident Response (Runbook)</t>
        </is>
      </c>
      <c r="B29" s="18" t="inlineStr">
        <is>
          <t>Trigger: AI incident: harmful/erroneous output, drift breach, bias complaint, jailbreak/security event, agent acting out of scope    |    Frequency: On event    |    Owner — A: AI Risk Committee | R: Model Owner + InfoSec    |    Exit gate: Incident closed; root-cause documented; lessons fed back into controls</t>
        </is>
      </c>
      <c r="C29" s="84" t="n"/>
      <c r="D29" s="84" t="n"/>
      <c r="E29" s="85" t="n"/>
      <c r="F29" s="17" t="inlineStr">
        <is>
          <t>ISO A.3.3, A.8.4, A.6.2.6 | NIST GOVERN 4.3, MANAGE 2.3, 2.4, 4.3, MEASURE 3.3 | MAS M3.11 | MGF D3.15, D3.16</t>
        </is>
      </c>
    </row>
    <row r="30" ht="42" customHeight="1" s="1">
      <c r="A30" s="19" t="inlineStr">
        <is>
          <t xml:space="preserve">  Step 1</t>
        </is>
      </c>
      <c r="B30" s="20" t="inlineStr">
        <is>
          <t>Whoever detects</t>
        </is>
      </c>
      <c r="C30" s="20" t="inlineStr">
        <is>
          <t>Detect and log the incident; record time, system, symptoms, initial impact.</t>
        </is>
      </c>
      <c r="D30" s="20" t="inlineStr">
        <is>
          <t>On event</t>
        </is>
      </c>
      <c r="E30" s="20" t="inlineStr">
        <is>
          <t>Incident ticket</t>
        </is>
      </c>
      <c r="F30" s="20" t="n"/>
    </row>
    <row r="31" ht="42" customHeight="1" s="1">
      <c r="A31" s="11" t="inlineStr">
        <is>
          <t xml:space="preserve">  Step 2</t>
        </is>
      </c>
      <c r="B31" s="12" t="inlineStr">
        <is>
          <t>AI Risk + Model Owner</t>
        </is>
      </c>
      <c r="C31" s="12" t="inlineStr">
        <is>
          <t>Triage severity and classify; convene responders.</t>
        </is>
      </c>
      <c r="D31" s="12" t="n"/>
      <c r="E31" s="12" t="inlineStr">
        <is>
          <t>Severity classification</t>
        </is>
      </c>
      <c r="F31" s="12" t="n"/>
    </row>
    <row r="32" ht="42" customHeight="1" s="1">
      <c r="A32" s="19" t="inlineStr">
        <is>
          <t xml:space="preserve">  Step 3</t>
        </is>
      </c>
      <c r="B32" s="20" t="inlineStr">
        <is>
          <t>Model Owner + InfoSec</t>
        </is>
      </c>
      <c r="C32" s="20" t="inlineStr">
        <is>
          <t>Contain: disengage / rollback / activate kill-switch; isolate affected components.</t>
        </is>
      </c>
      <c r="D32" s="20" t="n"/>
      <c r="E32" s="20" t="inlineStr">
        <is>
          <t>Containment record</t>
        </is>
      </c>
      <c r="F32" s="20" t="n"/>
    </row>
    <row r="33" ht="63.75" customHeight="1" s="1">
      <c r="A33" s="23" t="inlineStr">
        <is>
          <t xml:space="preserve">  Step 4</t>
        </is>
      </c>
      <c r="B33" s="24" t="inlineStr">
        <is>
          <t>Compliance &amp; Legal</t>
        </is>
      </c>
      <c r="C33" s="24" t="inlineStr">
        <is>
          <t>Assess against the FSM-N05 (TRM) “relevant incident” threshold — severe/widespread operational impact, or material customer-service impact. If met: notify MAS within 1 HOUR of discovery (BCM hotline) and submit root-cause &amp; impact report within 14 DAYS. Notify internal stakeholders in parallel.</t>
        </is>
      </c>
      <c r="D33" s="24" t="n"/>
      <c r="E33" s="24" t="inlineStr">
        <is>
          <t>MAS notification (≤1 hr); RCA &amp; impact report (≤14 days); stakeholder notification log</t>
        </is>
      </c>
      <c r="F33" s="24" t="n"/>
    </row>
    <row r="34" ht="42" customHeight="1" s="1">
      <c r="A34" s="19" t="inlineStr">
        <is>
          <t xml:space="preserve">  Step 5</t>
        </is>
      </c>
      <c r="B34" s="20" t="inlineStr">
        <is>
          <t>Model Developer + AI Risk</t>
        </is>
      </c>
      <c r="C34" s="20" t="inlineStr">
        <is>
          <t>Root-cause analysis; remediate; verify fix.</t>
        </is>
      </c>
      <c r="D34" s="20" t="n"/>
      <c r="E34" s="20" t="inlineStr">
        <is>
          <t>RCA &amp; remediation</t>
        </is>
      </c>
      <c r="F34" s="20" t="n"/>
    </row>
    <row r="35" ht="42" customHeight="1" s="1">
      <c r="A35" s="11" t="inlineStr">
        <is>
          <t xml:space="preserve">  Step 6</t>
        </is>
      </c>
      <c r="B35" s="12" t="inlineStr">
        <is>
          <t>AI Risk Committee</t>
        </is>
      </c>
      <c r="C35" s="12" t="inlineStr">
        <is>
          <t>Post-incident review; update controls, tests and playbook.</t>
        </is>
      </c>
      <c r="D35" s="12" t="n"/>
      <c r="E35" s="12" t="inlineStr">
        <is>
          <t>Post-incident review</t>
        </is>
      </c>
      <c r="F35" s="12" t="n"/>
    </row>
    <row r="36" ht="45.75" customHeight="1" s="1">
      <c r="A36" s="17" t="inlineStr">
        <is>
          <t>PLAY 7 — Third-Party / Foundation-Model Onboarding</t>
        </is>
      </c>
      <c r="B36" s="18" t="inlineStr">
        <is>
          <t>Trigger: Procuring external AI model/service/data, or a vendor model version change    |    Frequency: On event    |    Owner — A: AI Risk Committee | R: Model Owner + Procurement    |    Exit gate: Approved vendor with documented responsibility allocation &amp; monitoring plan</t>
        </is>
      </c>
      <c r="C36" s="84" t="n"/>
      <c r="D36" s="84" t="n"/>
      <c r="E36" s="85" t="n"/>
      <c r="F36" s="17" t="inlineStr">
        <is>
          <t>ISO A.10.2-A.10.4 | NIST GOVERN 6.1, 6.2, MAP 4.1, MANAGE 3.1, 3.2 | MAS M3.14 | MGF D1.5, D1.6</t>
        </is>
      </c>
    </row>
    <row r="37" ht="42" customHeight="1" s="1">
      <c r="A37" s="19" t="inlineStr">
        <is>
          <t xml:space="preserve">  Step 1</t>
        </is>
      </c>
      <c r="B37" s="20" t="inlineStr">
        <is>
          <t>Model Owner + InfoSec</t>
        </is>
      </c>
      <c r="C37" s="20" t="inlineStr">
        <is>
          <t>Due diligence: responsible-AI posture, security, data rights, IP, known limitations.</t>
        </is>
      </c>
      <c r="D37" s="20" t="inlineStr">
        <is>
          <t>On event</t>
        </is>
      </c>
      <c r="E37" s="20" t="inlineStr">
        <is>
          <t>Due-diligence record</t>
        </is>
      </c>
      <c r="F37" s="20" t="n"/>
    </row>
    <row r="38" ht="42" customHeight="1" s="1">
      <c r="A38" s="11" t="inlineStr">
        <is>
          <t xml:space="preserve">  Step 2</t>
        </is>
      </c>
      <c r="B38" s="12" t="inlineStr">
        <is>
          <t>Compliance &amp; Legal</t>
        </is>
      </c>
      <c r="C38" s="12" t="inlineStr">
        <is>
          <t>Contractual clauses: responsibility allocation, change notification, audit rights, exit.</t>
        </is>
      </c>
      <c r="D38" s="12" t="n"/>
      <c r="E38" s="12" t="inlineStr">
        <is>
          <t>Signed contract terms</t>
        </is>
      </c>
      <c r="F38" s="12" t="n"/>
    </row>
    <row r="39" ht="42" customHeight="1" s="1">
      <c r="A39" s="19" t="inlineStr">
        <is>
          <t xml:space="preserve">  Step 3</t>
        </is>
      </c>
      <c r="B39" s="20" t="inlineStr">
        <is>
          <t>AI Risk</t>
        </is>
      </c>
      <c r="C39" s="20" t="inlineStr">
        <is>
          <t>Assess concentration risk; pin model version; define change-notification triggers.</t>
        </is>
      </c>
      <c r="D39" s="20" t="n"/>
      <c r="E39" s="20" t="inlineStr">
        <is>
          <t>Concentration &amp; versioning note</t>
        </is>
      </c>
      <c r="F39" s="20" t="n"/>
    </row>
    <row r="40" ht="42" customHeight="1" s="1">
      <c r="A40" s="11" t="inlineStr">
        <is>
          <t xml:space="preserve">  Step 4</t>
        </is>
      </c>
      <c r="B40" s="12" t="inlineStr">
        <is>
          <t>Model Owner</t>
        </is>
      </c>
      <c r="C40" s="12" t="inlineStr">
        <is>
          <t>Set up ongoing monitoring of the third-party model/service.</t>
        </is>
      </c>
      <c r="D40" s="12" t="n"/>
      <c r="E40" s="12" t="inlineStr">
        <is>
          <t>Vendor monitoring plan</t>
        </is>
      </c>
      <c r="F40" s="12" t="n"/>
    </row>
    <row r="41" ht="45.75" customHeight="1" s="1">
      <c r="A41" s="17" t="inlineStr">
        <is>
          <t>PLAY 8 — Periodic Review &amp; Re-Validation</t>
        </is>
      </c>
      <c r="B41" s="18" t="inlineStr">
        <is>
          <t>Trigger: Scheduled (risk-tiered cadence) or material change    |    Frequency: Annual / risk-tiered    |    Owner — A: AI Risk Committee | R: Independent Validation    |    Exit gate: Re-approved, or escalated for change / retirement</t>
        </is>
      </c>
      <c r="C41" s="84" t="n"/>
      <c r="D41" s="84" t="n"/>
      <c r="E41" s="85" t="n"/>
      <c r="F41" s="17" t="inlineStr">
        <is>
          <t>ISO A.2.4, A.6.2.4 | NIST MEASURE 1.2, MANAGE 4.2 | MAS M2.3, M3.12 | MGF D1.2, D2.2 | FEAT F1-F4 (re-assess)</t>
        </is>
      </c>
    </row>
    <row r="42" ht="42" customHeight="1" s="1">
      <c r="A42" s="19" t="inlineStr">
        <is>
          <t xml:space="preserve">  Step 1</t>
        </is>
      </c>
      <c r="B42" s="20" t="inlineStr">
        <is>
          <t>AI Risk</t>
        </is>
      </c>
      <c r="C42" s="20" t="inlineStr">
        <is>
          <t>Re-run materiality assessment; confirm risk tier still correct.</t>
        </is>
      </c>
      <c r="D42" s="20" t="inlineStr">
        <is>
          <t>Annual / risk-tiered</t>
        </is>
      </c>
      <c r="E42" s="20" t="inlineStr">
        <is>
          <t>Updated materiality</t>
        </is>
      </c>
      <c r="F42" s="20" t="n"/>
    </row>
    <row r="43" ht="42" customHeight="1" s="1">
      <c r="A43" s="21" t="inlineStr">
        <is>
          <t xml:space="preserve">  Step 2</t>
        </is>
      </c>
      <c r="B43" s="22" t="inlineStr">
        <is>
          <t>Independent Validation</t>
        </is>
      </c>
      <c r="C43" s="22" t="inlineStr">
        <is>
          <t>Re-validate model; review monitoring history and drift since last review; re-run the FEAT assessment (fairness drift F1, transparency F4) per cadence — annual for high-materiality, plus event-driven.</t>
        </is>
      </c>
      <c r="D43" s="22" t="n"/>
      <c r="E43" s="22" t="inlineStr">
        <is>
          <t>Re-validation report</t>
        </is>
      </c>
      <c r="F43" s="22" t="n"/>
    </row>
    <row r="44" ht="42" customHeight="1" s="1">
      <c r="A44" s="19" t="inlineStr">
        <is>
          <t xml:space="preserve">  Step 3</t>
        </is>
      </c>
      <c r="B44" s="20" t="inlineStr">
        <is>
          <t>Model Owner</t>
        </is>
      </c>
      <c r="C44" s="20" t="inlineStr">
        <is>
          <t>Refresh impact assessment for any context/regulatory changes.</t>
        </is>
      </c>
      <c r="D44" s="20" t="n"/>
      <c r="E44" s="20" t="inlineStr">
        <is>
          <t>Updated impact assessment</t>
        </is>
      </c>
      <c r="F44" s="20" t="n"/>
    </row>
    <row r="45" ht="42" customHeight="1" s="1">
      <c r="A45" s="11" t="inlineStr">
        <is>
          <t xml:space="preserve">  Step 4</t>
        </is>
      </c>
      <c r="B45" s="12" t="inlineStr">
        <is>
          <t>AI Risk Committee</t>
        </is>
      </c>
      <c r="C45" s="12" t="inlineStr">
        <is>
          <t>Decide: re-approve, require changes, or retire.</t>
        </is>
      </c>
      <c r="D45" s="12" t="n"/>
      <c r="E45" s="12" t="inlineStr">
        <is>
          <t>Committee decision</t>
        </is>
      </c>
      <c r="F45" s="12" t="n"/>
    </row>
    <row r="46" ht="45.75" customHeight="1" s="1">
      <c r="A46" s="17" t="inlineStr">
        <is>
          <t>PLAY 9 — Decommissioning</t>
        </is>
      </c>
      <c r="B46" s="18" t="inlineStr">
        <is>
          <t>Trigger: Model retired or replaced    |    Frequency: On event    |    Owner — A: Model Owner | R: AI Risk (2nd line)    |    Exit gate: Decommissioned safely; inventory updated; records archived</t>
        </is>
      </c>
      <c r="C46" s="84" t="n"/>
      <c r="D46" s="84" t="n"/>
      <c r="E46" s="85" t="n"/>
      <c r="F46" s="17" t="inlineStr">
        <is>
          <t>ISO A.6.2.6 | NIST GOVERN 1.7, MANAGE 2.4 | MAS M3.13 | MGF D1.5</t>
        </is>
      </c>
    </row>
    <row r="47" ht="42" customHeight="1" s="1">
      <c r="A47" s="19" t="inlineStr">
        <is>
          <t xml:space="preserve">  Step 1</t>
        </is>
      </c>
      <c r="B47" s="20" t="inlineStr">
        <is>
          <t>Model Owner</t>
        </is>
      </c>
      <c r="C47" s="20" t="inlineStr">
        <is>
          <t>Assess impact on dependent systems/users; plan safe phase-out.</t>
        </is>
      </c>
      <c r="D47" s="20" t="inlineStr">
        <is>
          <t>On event</t>
        </is>
      </c>
      <c r="E47" s="20" t="inlineStr">
        <is>
          <t>Phase-out plan</t>
        </is>
      </c>
      <c r="F47" s="20" t="n"/>
    </row>
    <row r="48" ht="42" customHeight="1" s="1">
      <c r="A48" s="11" t="inlineStr">
        <is>
          <t xml:space="preserve">  Step 2</t>
        </is>
      </c>
      <c r="B48" s="12" t="inlineStr">
        <is>
          <t>Data Owner + DPO</t>
        </is>
      </c>
      <c r="C48" s="12" t="inlineStr">
        <is>
          <t>Handle data retention/disposal per policy and privacy obligations.</t>
        </is>
      </c>
      <c r="D48" s="12" t="n"/>
      <c r="E48" s="12" t="inlineStr">
        <is>
          <t>Data disposal record</t>
        </is>
      </c>
      <c r="F48" s="12" t="n"/>
    </row>
    <row r="49" ht="42" customHeight="1" s="1">
      <c r="A49" s="19" t="inlineStr">
        <is>
          <t xml:space="preserve">  Step 3</t>
        </is>
      </c>
      <c r="B49" s="20" t="inlineStr">
        <is>
          <t>InfoSec</t>
        </is>
      </c>
      <c r="C49" s="20" t="inlineStr">
        <is>
          <t>Remove access and credentials; decommission infrastructure.</t>
        </is>
      </c>
      <c r="D49" s="20" t="n"/>
      <c r="E49" s="20" t="inlineStr">
        <is>
          <t>Access-removal log</t>
        </is>
      </c>
      <c r="F49" s="20" t="n"/>
    </row>
    <row r="50" ht="42" customHeight="1" s="1">
      <c r="A50" s="11" t="inlineStr">
        <is>
          <t xml:space="preserve">  Step 4</t>
        </is>
      </c>
      <c r="B50" s="12" t="inlineStr">
        <is>
          <t>AI Risk</t>
        </is>
      </c>
      <c r="C50" s="12" t="inlineStr">
        <is>
          <t>Archive documentation &amp; event logs; update the AI inventory.</t>
        </is>
      </c>
      <c r="D50" s="12" t="n"/>
      <c r="E50" s="12" t="inlineStr">
        <is>
          <t>Archive &amp; inventory update</t>
        </is>
      </c>
      <c r="F50" s="12" t="n"/>
    </row>
    <row r="51" ht="45.75" customHeight="1" s="1">
      <c r="A51" s="17" t="inlineStr">
        <is>
          <t>PLAY 10 — Stress-Test / Red-Team Cycle</t>
        </is>
      </c>
      <c r="B51" s="18" t="inlineStr">
        <is>
          <t>Trigger: Scheduled per hotspot cadence + before any major release    |    Frequency: Quarterly + pre-release    |    Owner — A: AI Risk Committee | R: InfoSec + AI Risk    |    Exit gate: Results logged in Stress-Test Tracker; remediation tracked to closure</t>
        </is>
      </c>
      <c r="C51" s="84" t="n"/>
      <c r="D51" s="84" t="n"/>
      <c r="E51" s="85" t="n"/>
      <c r="F51" s="17" t="inlineStr">
        <is>
          <t>NIST MEASURE 2.6, 2.7, MANAGE 1.1-1.4 | MAS M3.6, M3.15 | see Stress-Test Tracker tab | MGF D3.8, D3.9, D4.5</t>
        </is>
      </c>
    </row>
    <row r="52" ht="42" customHeight="1" s="1">
      <c r="A52" s="19" t="inlineStr">
        <is>
          <t xml:space="preserve">  Step 1</t>
        </is>
      </c>
      <c r="B52" s="20" t="inlineStr">
        <is>
          <t>AI Risk</t>
        </is>
      </c>
      <c r="C52" s="20" t="inlineStr">
        <is>
          <t>Select hotspots in scope for this cycle (see Stress-Test Tracker).</t>
        </is>
      </c>
      <c r="D52" s="20" t="inlineStr">
        <is>
          <t>Quarterly + pre-release</t>
        </is>
      </c>
      <c r="E52" s="20" t="inlineStr">
        <is>
          <t>Scope note</t>
        </is>
      </c>
      <c r="F52" s="20" t="n"/>
    </row>
    <row r="53" ht="42" customHeight="1" s="1">
      <c r="A53" s="11" t="inlineStr">
        <is>
          <t xml:space="preserve">  Step 2</t>
        </is>
      </c>
      <c r="B53" s="12" t="inlineStr">
        <is>
          <t>InfoSec</t>
        </is>
      </c>
      <c r="C53" s="12" t="inlineStr">
        <is>
          <t>Design scenario / adversarial / red-team tests; chain hotspots where useful.</t>
        </is>
      </c>
      <c r="D53" s="12" t="n"/>
      <c r="E53" s="12" t="inlineStr">
        <is>
          <t>Test plan</t>
        </is>
      </c>
      <c r="F53" s="12" t="n"/>
    </row>
    <row r="54" ht="42" customHeight="1" s="1">
      <c r="A54" s="19" t="inlineStr">
        <is>
          <t xml:space="preserve">  Step 3</t>
        </is>
      </c>
      <c r="B54" s="20" t="inlineStr">
        <is>
          <t>InfoSec + Model Owner</t>
        </is>
      </c>
      <c r="C54" s="20" t="inlineStr">
        <is>
          <t>Execute tests in a controlled environment; capture findings.</t>
        </is>
      </c>
      <c r="D54" s="20" t="n"/>
      <c r="E54" s="20" t="inlineStr">
        <is>
          <t>Test evidence</t>
        </is>
      </c>
      <c r="F54" s="20" t="n"/>
    </row>
    <row r="55" ht="42" customHeight="1" s="1">
      <c r="A55" s="11" t="inlineStr">
        <is>
          <t xml:space="preserve">  Step 4</t>
        </is>
      </c>
      <c r="B55" s="12" t="inlineStr">
        <is>
          <t>AI Risk</t>
        </is>
      </c>
      <c r="C55" s="12" t="inlineStr">
        <is>
          <t>Rate results and residual risk; log in tracker; raise remediation items.</t>
        </is>
      </c>
      <c r="D55" s="12" t="n"/>
      <c r="E55" s="12" t="inlineStr">
        <is>
          <t>Updated tracker</t>
        </is>
      </c>
      <c r="F55" s="12" t="n"/>
    </row>
    <row r="56" ht="42" customHeight="1" s="1">
      <c r="A56" s="19" t="inlineStr">
        <is>
          <t xml:space="preserve">  Step 5</t>
        </is>
      </c>
      <c r="B56" s="20" t="inlineStr">
        <is>
          <t>AI Risk Committee</t>
        </is>
      </c>
      <c r="C56" s="20" t="inlineStr">
        <is>
          <t>Review results; approve residual risk or require remediation.</t>
        </is>
      </c>
      <c r="D56" s="20" t="n"/>
      <c r="E56" s="20" t="inlineStr">
        <is>
          <t>Committee sign-off</t>
        </is>
      </c>
      <c r="F56" s="20" t="n"/>
    </row>
    <row r="57" ht="38.25" customHeight="1" s="1">
      <c r="A57" s="17" t="inlineStr">
        <is>
          <t>PLAY 11 — Agentic Operation &amp; Human Oversight</t>
        </is>
      </c>
      <c r="B57" s="25" t="inlineStr">
        <is>
          <t>Trigger: Agentic AI system in live operation    |    Frequency: Continuous + monthly    |    Owner — A: AI Risk Committee | R: Model Owner + AI Risk    |    Exit gate: Oversight effectiveness evidenced; end-user disclosures &amp; training current</t>
        </is>
      </c>
      <c r="C57" s="84" t="n"/>
      <c r="D57" s="84" t="n"/>
      <c r="E57" s="85" t="n"/>
      <c r="F57" s="17" t="inlineStr">
        <is>
          <t>ISO A.8.2-A.8.5, A.9.3-A.9.4, A.4.6 | NIST GOVERN 5.1, MEASURE 3.3 | MAS M1.5, M3.10 | MGF D2.5, D2.6, D2.7, D4.1-D4.5</t>
        </is>
      </c>
    </row>
    <row r="58" ht="25.5" customHeight="1" s="1">
      <c r="A58" s="19" t="inlineStr">
        <is>
          <t xml:space="preserve">  Step 1</t>
        </is>
      </c>
      <c r="B58" s="20" t="inlineStr">
        <is>
          <t>Model Owner + Compliance</t>
        </is>
      </c>
      <c r="C58" s="20" t="inlineStr">
        <is>
          <t>Publish end-user disclosures: agent capabilities, data access, limitations, and a human point of contact.</t>
        </is>
      </c>
      <c r="D58" s="20" t="inlineStr">
        <is>
          <t>Continuous</t>
        </is>
      </c>
      <c r="E58" s="20" t="inlineStr">
        <is>
          <t>Disclosure notice</t>
        </is>
      </c>
      <c r="F58" s="20" t="n"/>
    </row>
    <row r="59" ht="25.5" customHeight="1" s="1">
      <c r="A59" s="19" t="inlineStr">
        <is>
          <t xml:space="preserve">  Step 2</t>
        </is>
      </c>
      <c r="B59" s="20" t="inlineStr">
        <is>
          <t>Model Owner + HR (capability)</t>
        </is>
      </c>
      <c r="C59" s="20" t="inlineStr">
        <is>
          <t>Train integrating users on oversight best practice, common failure modes and tradecraft preservation.</t>
        </is>
      </c>
      <c r="D59" s="20" t="inlineStr">
        <is>
          <t>On onboarding + periodic</t>
        </is>
      </c>
      <c r="E59" s="20" t="inlineStr">
        <is>
          <t>Training records</t>
        </is>
      </c>
      <c r="F59" s="20" t="n"/>
    </row>
    <row r="60" ht="25.5" customHeight="1" s="1">
      <c r="A60" s="19" t="inlineStr">
        <is>
          <t xml:space="preserve">  Step 3</t>
        </is>
      </c>
      <c r="B60" s="20" t="inlineStr">
        <is>
          <t>AI Risk (2nd line)</t>
        </is>
      </c>
      <c r="C60" s="20" t="inlineStr">
        <is>
          <t>Monitor human-oversight effectiveness — override rates and approval response times — to detect automation bias.</t>
        </is>
      </c>
      <c r="D60" s="20" t="inlineStr">
        <is>
          <t>Monthly</t>
        </is>
      </c>
      <c r="E60" s="20" t="inlineStr">
        <is>
          <t>Oversight-metrics report</t>
        </is>
      </c>
      <c r="F60" s="20" t="n"/>
    </row>
    <row r="61" ht="25.5" customHeight="1" s="1">
      <c r="A61" s="19" t="inlineStr">
        <is>
          <t xml:space="preserve">  Step 4</t>
        </is>
      </c>
      <c r="B61" s="20" t="inlineStr">
        <is>
          <t>InfoSec + AI Risk</t>
        </is>
      </c>
      <c r="C61" s="20" t="inlineStr">
        <is>
          <t>In sensitive contexts, run end-user / red-team review of agent approval prompts and actions.</t>
        </is>
      </c>
      <c r="D61" s="20" t="inlineStr">
        <is>
          <t>Quarterly</t>
        </is>
      </c>
      <c r="E61" s="20" t="inlineStr">
        <is>
          <t>Red-team review note</t>
        </is>
      </c>
      <c r="F61" s="20" t="n"/>
    </row>
    <row r="62" ht="25.5" customHeight="1" s="1">
      <c r="A62" s="19" t="inlineStr">
        <is>
          <t xml:space="preserve">  Step 5</t>
        </is>
      </c>
      <c r="B62" s="20" t="inlineStr">
        <is>
          <t>AI Risk Committee</t>
        </is>
      </c>
      <c r="C62" s="20" t="inlineStr">
        <is>
          <t>Review oversight metrics and disclosures; confirm continued meaningful human accountability or require change.</t>
        </is>
      </c>
      <c r="D62" s="20" t="inlineStr">
        <is>
          <t>Quarterly</t>
        </is>
      </c>
      <c r="E62" s="20" t="inlineStr">
        <is>
          <t>Committee minutes</t>
        </is>
      </c>
      <c r="F62" s="20" t="n"/>
    </row>
    <row r="65" ht="14.25" customHeight="1" s="1">
      <c r="A65" s="5" t="inlineStr">
        <is>
          <t>Note:</t>
        </is>
      </c>
    </row>
    <row r="66" ht="14.25" customHeight="1" s="1">
      <c r="A66" s="26" t="inlineStr">
        <is>
          <t>* Play 2 (AI Impact &amp; Risk Assessment) -- trigers the FEAT assessment; Ethics/Accountability set at org level, Fairness/Transparency run per use case.</t>
        </is>
      </c>
    </row>
    <row r="67" ht="14.25" customHeight="1" s="1">
      <c r="A67" s="26" t="inlineStr">
        <is>
          <t>* Play 3 &amp; 4 (Validation Gate/ Release Gate) - FEAT sign-off F1-F4; no high-materiality model releases without section D validation.</t>
        </is>
      </c>
    </row>
    <row r="68" ht="14.25" customHeight="1" s="1">
      <c r="A68" s="26" t="inlineStr">
        <is>
          <t>* Play 5 &amp; 8 (Monitoring/ Re-validation) - fairness-drift (F1) and transparency (F4) re-assessment on cadence.</t>
        </is>
      </c>
    </row>
    <row r="69" ht="14.25" customHeight="1" s="1"/>
    <row r="70" ht="14.25" customHeight="1" s="1"/>
    <row r="71" ht="14.25" customHeight="1" s="1"/>
  </sheetData>
  <mergeCells count="13">
    <mergeCell ref="A2:F2"/>
    <mergeCell ref="B41:E41"/>
    <mergeCell ref="B57:E57"/>
    <mergeCell ref="A1:F1"/>
    <mergeCell ref="B21:E21"/>
    <mergeCell ref="B16:E16"/>
    <mergeCell ref="B29:E29"/>
    <mergeCell ref="B25:E25"/>
    <mergeCell ref="B5:E5"/>
    <mergeCell ref="B51:E51"/>
    <mergeCell ref="B10:E10"/>
    <mergeCell ref="B46:E46"/>
    <mergeCell ref="B36:E36"/>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4.xml><?xml version="1.0" encoding="utf-8"?>
<worksheet xmlns="http://schemas.openxmlformats.org/spreadsheetml/2006/main">
  <sheetPr filterMode="0">
    <outlinePr applyStyles="0" summaryBelow="1" summaryRight="1" showOutlineSymbols="1"/>
    <pageSetUpPr autoPageBreaks="1" fitToPage="0"/>
  </sheetPr>
  <dimension ref="A1:N41"/>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baseColWidth="8" defaultColWidth="8.6796875" defaultRowHeight="15"/>
  <cols>
    <col width="28" customWidth="1" style="1" min="1" max="1"/>
    <col width="10" customWidth="1" style="1" min="2" max="2"/>
    <col width="34" customWidth="1" style="1" min="3" max="3"/>
    <col width="60" customWidth="1" style="1" min="4" max="4"/>
    <col width="24" customWidth="1" style="1" min="5" max="5"/>
    <col width="18" customWidth="1" style="1" min="6" max="6"/>
    <col width="12" customWidth="1" style="1" min="7" max="7"/>
    <col width="26" customWidth="1" style="1" min="8" max="8"/>
    <col width="13" customWidth="1" style="1" min="9" max="10"/>
    <col width="30" customWidth="1" style="1" min="11" max="11"/>
    <col width="16" customWidth="1" style="1" min="12" max="12"/>
    <col width="24" customWidth="1" style="1" min="13" max="13"/>
    <col width="30" customWidth="1" style="1" min="14" max="14"/>
  </cols>
  <sheetData>
    <row r="1" ht="15.75" customHeight="1" s="1">
      <c r="A1" s="9" t="inlineStr">
        <is>
          <t>Control Library - ISO 42001 — Control Tracker</t>
        </is>
      </c>
    </row>
    <row r="3" ht="23.25" customHeight="1" s="1">
      <c r="A3" s="27" t="inlineStr">
        <is>
          <t>Control Objective</t>
        </is>
      </c>
      <c r="B3" s="27" t="inlineStr">
        <is>
          <t>Control ID</t>
        </is>
      </c>
      <c r="C3" s="27" t="inlineStr">
        <is>
          <t>Control Title</t>
        </is>
      </c>
      <c r="D3" s="27" t="inlineStr">
        <is>
          <t>Requirement (summary)</t>
        </is>
      </c>
      <c r="E3" s="27" t="inlineStr">
        <is>
          <t>Owner (role)</t>
        </is>
      </c>
      <c r="F3" s="27" t="inlineStr">
        <is>
          <t>Status</t>
        </is>
      </c>
      <c r="G3" s="27" t="inlineStr">
        <is>
          <t>Maturity (1-5)</t>
        </is>
      </c>
      <c r="H3" s="27" t="inlineStr">
        <is>
          <t>Evidence / artifact</t>
        </is>
      </c>
      <c r="I3" s="27" t="inlineStr">
        <is>
          <t>Last reviewed</t>
        </is>
      </c>
      <c r="J3" s="27" t="inlineStr">
        <is>
          <t>Next review</t>
        </is>
      </c>
      <c r="K3" s="27" t="inlineStr">
        <is>
          <t>Gap / notes</t>
        </is>
      </c>
      <c r="L3" s="27" t="inlineStr">
        <is>
          <t>Linked play</t>
        </is>
      </c>
      <c r="M3" s="27" t="inlineStr">
        <is>
          <t>Test of Design</t>
        </is>
      </c>
      <c r="N3" s="27" t="inlineStr">
        <is>
          <t>Test of Operating Effectiveness</t>
        </is>
      </c>
    </row>
    <row r="4" ht="55.5" customHeight="1" s="1">
      <c r="A4" s="12" t="inlineStr">
        <is>
          <t>A.2 Policies related to AI</t>
        </is>
      </c>
      <c r="B4" s="11" t="inlineStr">
        <is>
          <t>A.2.2</t>
        </is>
      </c>
      <c r="C4" s="12" t="inlineStr">
        <is>
          <t>AI policy</t>
        </is>
      </c>
      <c r="D4" s="12" t="inlineStr">
        <is>
          <t>Maintain a written, management-approved AI policy that sets out how the organisation develops and uses AI. The foundation every other control hangs off.</t>
        </is>
      </c>
      <c r="E4" s="12" t="inlineStr">
        <is>
          <t>AI Risk Cttee / Compliance</t>
        </is>
      </c>
      <c r="F4" s="28" t="inlineStr">
        <is>
          <t>Not started</t>
        </is>
      </c>
      <c r="G4" s="28" t="n"/>
      <c r="H4" s="12" t="n"/>
      <c r="I4" s="12" t="n"/>
      <c r="J4" s="12" t="n"/>
      <c r="K4" s="12" t="n"/>
      <c r="L4" s="12" t="n"/>
      <c r="M4" s="12" t="n"/>
      <c r="N4" s="12" t="n"/>
    </row>
    <row r="5" ht="55.5" customHeight="1" s="1">
      <c r="A5" s="29" t="inlineStr">
        <is>
          <t>A.2 Policies related to AI</t>
        </is>
      </c>
      <c r="B5" s="30" t="inlineStr">
        <is>
          <t>A.2.3</t>
        </is>
      </c>
      <c r="C5" s="29" t="inlineStr">
        <is>
          <t>Alignment with other organisational policies</t>
        </is>
      </c>
      <c r="D5" s="29" t="inlineStr">
        <is>
          <t>Ensure the AI policy is consistent with existing security, privacy, risk, HR, procurement and ethics policies; update those policies where they intersect rather than creating conflicts.</t>
        </is>
      </c>
      <c r="E5" s="29" t="inlineStr">
        <is>
          <t>AI Risk Cttee / Compliance</t>
        </is>
      </c>
      <c r="F5" s="31" t="inlineStr">
        <is>
          <t>Not started</t>
        </is>
      </c>
      <c r="G5" s="31" t="n"/>
      <c r="H5" s="29" t="n"/>
      <c r="I5" s="29" t="n"/>
      <c r="J5" s="29" t="n"/>
      <c r="K5" s="29" t="n"/>
      <c r="L5" s="12" t="n"/>
      <c r="M5" s="12" t="n"/>
      <c r="N5" s="12" t="n"/>
    </row>
    <row r="6" ht="55.5" customHeight="1" s="1">
      <c r="A6" s="12" t="inlineStr">
        <is>
          <t>A.2 Policies related to AI</t>
        </is>
      </c>
      <c r="B6" s="11" t="inlineStr">
        <is>
          <t>A.2.4</t>
        </is>
      </c>
      <c r="C6" s="12" t="inlineStr">
        <is>
          <t>Review of the AI policy</t>
        </is>
      </c>
      <c r="D6" s="12" t="inlineStr">
        <is>
          <t>Review the AI policy on a planned cycle and whenever something material changes (new regulation, new use case, incident lessons) to confirm continued fitness and management support.</t>
        </is>
      </c>
      <c r="E6" s="12" t="inlineStr">
        <is>
          <t>AI Risk Cttee / Compliance</t>
        </is>
      </c>
      <c r="F6" s="28" t="inlineStr">
        <is>
          <t>Not started</t>
        </is>
      </c>
      <c r="G6" s="28" t="n"/>
      <c r="H6" s="12" t="n"/>
      <c r="I6" s="12" t="n"/>
      <c r="J6" s="12" t="n"/>
      <c r="K6" s="12" t="n"/>
      <c r="L6" s="12" t="inlineStr">
        <is>
          <t>Play 8</t>
        </is>
      </c>
      <c r="M6" s="12" t="n"/>
      <c r="N6" s="12" t="n"/>
    </row>
    <row r="7" ht="55.5" customHeight="1" s="1">
      <c r="A7" s="29" t="inlineStr">
        <is>
          <t>A.3 Internal organisation</t>
        </is>
      </c>
      <c r="B7" s="30" t="inlineStr">
        <is>
          <t>A.3.2</t>
        </is>
      </c>
      <c r="C7" s="29" t="inlineStr">
        <is>
          <t>AI roles and responsibilities</t>
        </is>
      </c>
      <c r="D7" s="29" t="inlineStr">
        <is>
          <t>Define and explicitly assign accountability and responsibility for AI activities across the life cycle (risk, impact assessment, development, oversight, data quality, security, supplier management) so nothing falls in a gap.</t>
        </is>
      </c>
      <c r="E7" s="29" t="inlineStr">
        <is>
          <t>AI Risk (2nd line)</t>
        </is>
      </c>
      <c r="F7" s="31" t="inlineStr">
        <is>
          <t>Not started</t>
        </is>
      </c>
      <c r="G7" s="31" t="n"/>
      <c r="H7" s="29" t="n"/>
      <c r="I7" s="29" t="n"/>
      <c r="J7" s="29" t="n"/>
      <c r="K7" s="29" t="n"/>
      <c r="L7" s="12" t="n"/>
      <c r="M7" s="12" t="n"/>
      <c r="N7" s="12" t="n"/>
    </row>
    <row r="8" ht="55.5" customHeight="1" s="1">
      <c r="A8" s="12" t="inlineStr">
        <is>
          <t>A.3 Internal organisation</t>
        </is>
      </c>
      <c r="B8" s="11" t="inlineStr">
        <is>
          <t>A.3.3</t>
        </is>
      </c>
      <c r="C8" s="12" t="inlineStr">
        <is>
          <t>Reporting of concerns</t>
        </is>
      </c>
      <c r="D8" s="12" t="inlineStr">
        <is>
          <t>Provide a reporting channel (anonymous/confidential where appropriate, protected from reprisal) for staff, contractors and external parties to raise concerns about AI, with defined investigation and escalation.</t>
        </is>
      </c>
      <c r="E8" s="12" t="inlineStr">
        <is>
          <t>AI Risk (2nd line)</t>
        </is>
      </c>
      <c r="F8" s="28" t="inlineStr">
        <is>
          <t>Not started</t>
        </is>
      </c>
      <c r="G8" s="28" t="n"/>
      <c r="H8" s="12" t="n"/>
      <c r="I8" s="12" t="n"/>
      <c r="J8" s="12" t="n"/>
      <c r="K8" s="12" t="n"/>
      <c r="L8" s="12" t="inlineStr">
        <is>
          <t>Play 6</t>
        </is>
      </c>
      <c r="M8" s="12" t="n"/>
      <c r="N8" s="12" t="n"/>
    </row>
    <row r="9" ht="55.5" customHeight="1" s="1">
      <c r="A9" s="29" t="inlineStr">
        <is>
          <t>A.4 Resources for AI systems</t>
        </is>
      </c>
      <c r="B9" s="30" t="inlineStr">
        <is>
          <t>A.4.2</t>
        </is>
      </c>
      <c r="C9" s="29" t="inlineStr">
        <is>
          <t>Resource documentation</t>
        </is>
      </c>
      <c r="D9" s="29" t="inlineStr">
        <is>
          <t>Build and maintain an inventory of the resources AI systems rely on at each life cycle stage; resource visibility makes risk assessment, impact assessment and incident response possible.</t>
        </is>
      </c>
      <c r="E9" s="29" t="inlineStr">
        <is>
          <t>Model Owner (1st line)</t>
        </is>
      </c>
      <c r="F9" s="31" t="inlineStr">
        <is>
          <t>Not started</t>
        </is>
      </c>
      <c r="G9" s="31" t="n"/>
      <c r="H9" s="29" t="n"/>
      <c r="I9" s="29" t="n"/>
      <c r="J9" s="29" t="n"/>
      <c r="K9" s="29" t="n"/>
      <c r="L9" s="12" t="inlineStr">
        <is>
          <t>Play 1</t>
        </is>
      </c>
      <c r="M9" s="12" t="n"/>
      <c r="N9" s="12" t="n"/>
    </row>
    <row r="10" ht="55.5" customHeight="1" s="1">
      <c r="A10" s="12" t="inlineStr">
        <is>
          <t>A.4 Resources for AI systems</t>
        </is>
      </c>
      <c r="B10" s="11" t="inlineStr">
        <is>
          <t>A.4.3</t>
        </is>
      </c>
      <c r="C10" s="12" t="inlineStr">
        <is>
          <t>Data resources</t>
        </is>
      </c>
      <c r="D10" s="12" t="inlineStr">
        <is>
          <t>Record details of every dataset used: provenance, last-updated timestamps, category (training/validation/test/production), labelling process, intended purpose, quality, retention and known bias issues.</t>
        </is>
      </c>
      <c r="E10" s="12" t="inlineStr">
        <is>
          <t>Model Owner (1st line)</t>
        </is>
      </c>
      <c r="F10" s="28" t="inlineStr">
        <is>
          <t>Not started</t>
        </is>
      </c>
      <c r="G10" s="28" t="n"/>
      <c r="H10" s="12" t="n"/>
      <c r="I10" s="12" t="n"/>
      <c r="J10" s="12" t="n"/>
      <c r="K10" s="12" t="n"/>
      <c r="L10" s="12" t="n"/>
      <c r="M10" s="12" t="n"/>
      <c r="N10" s="12" t="n"/>
    </row>
    <row r="11" ht="55.5" customHeight="1" s="1">
      <c r="A11" s="29" t="inlineStr">
        <is>
          <t>A.4 Resources for AI systems</t>
        </is>
      </c>
      <c r="B11" s="30" t="inlineStr">
        <is>
          <t>A.4.4</t>
        </is>
      </c>
      <c r="C11" s="29" t="inlineStr">
        <is>
          <t>Tooling resources</t>
        </is>
      </c>
      <c r="D11" s="29" t="inlineStr">
        <is>
          <t>Record the algorithms, ML models, frameworks, libraries, optimisation/evaluation methods and provisioning tools the AI system depends on, to enable reproducibility and supply-chain risk assessment.</t>
        </is>
      </c>
      <c r="E11" s="29" t="inlineStr">
        <is>
          <t>Model Owner (1st line)</t>
        </is>
      </c>
      <c r="F11" s="31" t="inlineStr">
        <is>
          <t>Not started</t>
        </is>
      </c>
      <c r="G11" s="31" t="n"/>
      <c r="H11" s="29" t="n"/>
      <c r="I11" s="29" t="n"/>
      <c r="J11" s="29" t="n"/>
      <c r="K11" s="29" t="n"/>
      <c r="L11" s="12" t="n"/>
      <c r="M11" s="12" t="n"/>
      <c r="N11" s="12" t="n"/>
    </row>
    <row r="12" ht="55.5" customHeight="1" s="1">
      <c r="A12" s="12" t="inlineStr">
        <is>
          <t>A.4 Resources for AI systems</t>
        </is>
      </c>
      <c r="B12" s="11" t="inlineStr">
        <is>
          <t>A.4.5</t>
        </is>
      </c>
      <c r="C12" s="12" t="inlineStr">
        <is>
          <t>System and computing resources</t>
        </is>
      </c>
      <c r="D12" s="12" t="inlineStr">
        <is>
          <t>Record the compute, storage, network and hosting environments (on-prem, cloud, edge) the system runs on, including capacity constraints, dependencies and environmental impact of the hardware.</t>
        </is>
      </c>
      <c r="E12" s="12" t="inlineStr">
        <is>
          <t>Model Owner (1st line)</t>
        </is>
      </c>
      <c r="F12" s="28" t="inlineStr">
        <is>
          <t>Not started</t>
        </is>
      </c>
      <c r="G12" s="28" t="n"/>
      <c r="H12" s="12" t="n"/>
      <c r="I12" s="12" t="n"/>
      <c r="J12" s="12" t="n"/>
      <c r="K12" s="12" t="n"/>
      <c r="L12" s="12" t="n"/>
      <c r="M12" s="12" t="n"/>
      <c r="N12" s="12" t="n"/>
    </row>
    <row r="13" ht="55.5" customHeight="1" s="1">
      <c r="A13" s="29" t="inlineStr">
        <is>
          <t>A.4 Resources for AI systems</t>
        </is>
      </c>
      <c r="B13" s="30" t="inlineStr">
        <is>
          <t>A.4.6</t>
        </is>
      </c>
      <c r="C13" s="29" t="inlineStr">
        <is>
          <t>Human resources</t>
        </is>
      </c>
      <c r="D13" s="29" t="inlineStr">
        <is>
          <t>Record the people and competencies involved across every phase: not just developers but operators, domain experts, testers, oversight roles, and change/handover/decommissioning roles.</t>
        </is>
      </c>
      <c r="E13" s="29" t="inlineStr">
        <is>
          <t>Model Owner (1st line)</t>
        </is>
      </c>
      <c r="F13" s="31" t="inlineStr">
        <is>
          <t>Not started</t>
        </is>
      </c>
      <c r="G13" s="31" t="n"/>
      <c r="H13" s="29" t="n"/>
      <c r="I13" s="29" t="n"/>
      <c r="J13" s="29" t="n"/>
      <c r="K13" s="29" t="n"/>
      <c r="L13" s="12" t="inlineStr">
        <is>
          <t>Play 11</t>
        </is>
      </c>
      <c r="M13" s="12" t="n"/>
      <c r="N13" s="12" t="n"/>
    </row>
    <row r="14" ht="55.5" customHeight="1" s="1">
      <c r="A14" s="12" t="inlineStr">
        <is>
          <t>A.5 Assessing impacts of AI systems</t>
        </is>
      </c>
      <c r="B14" s="11" t="inlineStr">
        <is>
          <t>A.5.2</t>
        </is>
      </c>
      <c r="C14" s="12" t="inlineStr">
        <is>
          <t>AI system impact assessment process</t>
        </is>
      </c>
      <c r="D14" s="12" t="inlineStr">
        <is>
          <t>Stand up a repeatable process for assessing how an AI system could affect people and society: triggers (criticality, complexity, sensitivity), scope, who performs it, and how outputs feed design/deployment/review.</t>
        </is>
      </c>
      <c r="E14" s="12" t="inlineStr">
        <is>
          <t>AI Risk (2nd line)</t>
        </is>
      </c>
      <c r="F14" s="28" t="inlineStr">
        <is>
          <t>Not started</t>
        </is>
      </c>
      <c r="G14" s="28" t="n"/>
      <c r="H14" s="12" t="n"/>
      <c r="I14" s="12" t="n"/>
      <c r="J14" s="12" t="n"/>
      <c r="K14" s="12" t="n"/>
      <c r="L14" s="12" t="inlineStr">
        <is>
          <t>Play 1, 2</t>
        </is>
      </c>
      <c r="M14" s="12" t="n"/>
      <c r="N14" s="12" t="n"/>
    </row>
    <row r="15" ht="55.5" customHeight="1" s="1">
      <c r="A15" s="29" t="inlineStr">
        <is>
          <t>A.5 Assessing impacts of AI systems</t>
        </is>
      </c>
      <c r="B15" s="30" t="inlineStr">
        <is>
          <t>A.5.3</t>
        </is>
      </c>
      <c r="C15" s="29" t="inlineStr">
        <is>
          <t>Documentation of AI system impact assessments</t>
        </is>
      </c>
      <c r="D15" s="29" t="inlineStr">
        <is>
          <t>Keep written records of every impact assessment (intended use, foreseeable misuse, predictable failures and mitigations, affected groups, oversight arrangements) and retain them for a defined period.</t>
        </is>
      </c>
      <c r="E15" s="29" t="inlineStr">
        <is>
          <t>AI Risk (2nd line)</t>
        </is>
      </c>
      <c r="F15" s="31" t="inlineStr">
        <is>
          <t>Not started</t>
        </is>
      </c>
      <c r="G15" s="31" t="n"/>
      <c r="H15" s="29" t="n"/>
      <c r="I15" s="29" t="n"/>
      <c r="J15" s="29" t="n"/>
      <c r="K15" s="29" t="n"/>
      <c r="L15" s="12" t="inlineStr">
        <is>
          <t>Play 2</t>
        </is>
      </c>
      <c r="M15" s="12" t="n"/>
      <c r="N15" s="12" t="n"/>
    </row>
    <row r="16" ht="55.5" customHeight="1" s="1">
      <c r="A16" s="12" t="inlineStr">
        <is>
          <t>A.5 Assessing impacts of AI systems</t>
        </is>
      </c>
      <c r="B16" s="11" t="inlineStr">
        <is>
          <t>A.5.4</t>
        </is>
      </c>
      <c r="C16" s="12" t="inlineStr">
        <is>
          <t>Assessing AI system impact on individuals or groups of individuals</t>
        </is>
      </c>
      <c r="D16" s="12" t="inlineStr">
        <is>
          <t>Consider how the system could affect individuals or groups: fairness, accountability, transparency, privacy, safety, health, accessibility, financial and human-rights consequences, with attention to protected groups.</t>
        </is>
      </c>
      <c r="E16" s="12" t="inlineStr">
        <is>
          <t>AI Risk (2nd line)</t>
        </is>
      </c>
      <c r="F16" s="28" t="inlineStr">
        <is>
          <t>Not started</t>
        </is>
      </c>
      <c r="G16" s="28" t="n"/>
      <c r="H16" s="12" t="n"/>
      <c r="I16" s="12" t="n"/>
      <c r="J16" s="12" t="n"/>
      <c r="K16" s="12" t="n"/>
      <c r="L16" s="12" t="inlineStr">
        <is>
          <t>Play 2</t>
        </is>
      </c>
      <c r="M16" s="12" t="n"/>
      <c r="N16" s="12" t="n"/>
    </row>
    <row r="17" ht="55.5" customHeight="1" s="1">
      <c r="A17" s="29" t="inlineStr">
        <is>
          <t>A.5 Assessing impacts of AI systems</t>
        </is>
      </c>
      <c r="B17" s="30" t="inlineStr">
        <is>
          <t>A.5.5</t>
        </is>
      </c>
      <c r="C17" s="29" t="inlineStr">
        <is>
          <t>Assessing societal impacts of AI systems</t>
        </is>
      </c>
      <c r="D17" s="29" t="inlineStr">
        <is>
          <t>Extend the assessment beyond direct users: environmental footprint, economic impact, effects on democratic/government processes, public health and safety, cultural/ethical norms and potential for deliberate misuse.</t>
        </is>
      </c>
      <c r="E17" s="29" t="inlineStr">
        <is>
          <t>AI Risk (2nd line)</t>
        </is>
      </c>
      <c r="F17" s="31" t="inlineStr">
        <is>
          <t>Not started</t>
        </is>
      </c>
      <c r="G17" s="31" t="n"/>
      <c r="H17" s="29" t="n"/>
      <c r="I17" s="29" t="n"/>
      <c r="J17" s="29" t="n"/>
      <c r="K17" s="29" t="n"/>
      <c r="L17" s="12" t="inlineStr">
        <is>
          <t>Play 2</t>
        </is>
      </c>
      <c r="M17" s="12" t="n"/>
      <c r="N17" s="12" t="n"/>
    </row>
    <row r="18" ht="55.5" customHeight="1" s="1">
      <c r="A18" s="12" t="inlineStr">
        <is>
          <t>A.6 AI system life cycle</t>
        </is>
      </c>
      <c r="B18" s="11" t="inlineStr">
        <is>
          <t>A.6.1.2</t>
        </is>
      </c>
      <c r="C18" s="12" t="inlineStr">
        <is>
          <t>Objectives for responsible development of AI system</t>
        </is>
      </c>
      <c r="D18" s="12" t="inlineStr">
        <is>
          <t>Set clear responsible-development objectives (fairness, transparency, robustness, privacy, safety) and bake them into development as measurable design inputs teams are accountable to.</t>
        </is>
      </c>
      <c r="E18" s="12" t="inlineStr">
        <is>
          <t>Model Developer / Indep. Validation</t>
        </is>
      </c>
      <c r="F18" s="28" t="inlineStr">
        <is>
          <t>Not started</t>
        </is>
      </c>
      <c r="G18" s="28" t="n"/>
      <c r="H18" s="12" t="n"/>
      <c r="I18" s="12" t="n"/>
      <c r="J18" s="12" t="n"/>
      <c r="K18" s="12" t="n"/>
      <c r="L18" s="12" t="n"/>
      <c r="M18" s="12" t="n"/>
      <c r="N18" s="12" t="n"/>
    </row>
    <row r="19" ht="55.5" customHeight="1" s="1">
      <c r="A19" s="29" t="inlineStr">
        <is>
          <t>A.6 AI system life cycle</t>
        </is>
      </c>
      <c r="B19" s="30" t="inlineStr">
        <is>
          <t>A.6.1.3</t>
        </is>
      </c>
      <c r="C19" s="29" t="inlineStr">
        <is>
          <t>Processes for responsible design and development of AI systems</t>
        </is>
      </c>
      <c r="D19" s="29" t="inlineStr">
        <is>
          <t>Document the actual steps for responsible design/build: life cycle stages, testing requirements, human oversight, training-data rules, release criteria, approvals, change control and stakeholder engagement.</t>
        </is>
      </c>
      <c r="E19" s="29" t="inlineStr">
        <is>
          <t>Model Developer / Indep. Validation</t>
        </is>
      </c>
      <c r="F19" s="31" t="inlineStr">
        <is>
          <t>Not started</t>
        </is>
      </c>
      <c r="G19" s="31" t="n"/>
      <c r="H19" s="29" t="n"/>
      <c r="I19" s="29" t="n"/>
      <c r="J19" s="29" t="n"/>
      <c r="K19" s="29" t="n"/>
      <c r="L19" s="12" t="n"/>
      <c r="M19" s="12" t="n"/>
      <c r="N19" s="12" t="n"/>
    </row>
    <row r="20" ht="55.5" customHeight="1" s="1">
      <c r="A20" s="12" t="inlineStr">
        <is>
          <t>A.6 AI system life cycle</t>
        </is>
      </c>
      <c r="B20" s="11" t="inlineStr">
        <is>
          <t>A.6.2.2</t>
        </is>
      </c>
      <c r="C20" s="12" t="inlineStr">
        <is>
          <t>AI system requirements and specification</t>
        </is>
      </c>
      <c r="D20" s="12" t="inlineStr">
        <is>
          <t>Capture functional and non-functional requirements (including risk and responsible-AI requirements) before building, document rationale, and keep requirements under change control as the system evolves.</t>
        </is>
      </c>
      <c r="E20" s="12" t="inlineStr">
        <is>
          <t>Model Developer / Indep. Validation</t>
        </is>
      </c>
      <c r="F20" s="28" t="inlineStr">
        <is>
          <t>Not started</t>
        </is>
      </c>
      <c r="G20" s="28" t="n"/>
      <c r="H20" s="12" t="n"/>
      <c r="I20" s="12" t="n"/>
      <c r="J20" s="12" t="n"/>
      <c r="K20" s="12" t="n"/>
      <c r="L20" s="12" t="inlineStr">
        <is>
          <t>Play 3</t>
        </is>
      </c>
      <c r="M20" s="12" t="n"/>
      <c r="N20" s="12" t="n"/>
    </row>
    <row r="21" ht="55.5" customHeight="1" s="1">
      <c r="A21" s="29" t="inlineStr">
        <is>
          <t>A.6 AI system life cycle</t>
        </is>
      </c>
      <c r="B21" s="30" t="inlineStr">
        <is>
          <t>A.6.2.3</t>
        </is>
      </c>
      <c r="C21" s="29" t="inlineStr">
        <is>
          <t>Documentation of AI system design and development</t>
        </is>
      </c>
      <c r="D21" s="29" t="inlineStr">
        <is>
          <t>Maintain a traceable record of design decisions (ML approach, algorithms, data assumptions, components, security threats, UI, human interaction, interoperability) tied back to requirements.</t>
        </is>
      </c>
      <c r="E21" s="29" t="inlineStr">
        <is>
          <t>Model Developer / Indep. Validation</t>
        </is>
      </c>
      <c r="F21" s="31" t="inlineStr">
        <is>
          <t>Not started</t>
        </is>
      </c>
      <c r="G21" s="31" t="n"/>
      <c r="H21" s="29" t="n"/>
      <c r="I21" s="29" t="n"/>
      <c r="J21" s="29" t="n"/>
      <c r="K21" s="29" t="n"/>
      <c r="L21" s="12" t="inlineStr">
        <is>
          <t>Play 3</t>
        </is>
      </c>
      <c r="M21" s="12" t="n"/>
      <c r="N21" s="12" t="n"/>
    </row>
    <row r="22" ht="55.5" customHeight="1" s="1">
      <c r="A22" s="12" t="inlineStr">
        <is>
          <t>A.6 AI system life cycle</t>
        </is>
      </c>
      <c r="B22" s="11" t="inlineStr">
        <is>
          <t>A.6.2.4</t>
        </is>
      </c>
      <c r="C22" s="12" t="inlineStr">
        <is>
          <t>AI system verification and validation</t>
        </is>
      </c>
      <c r="D22" s="12" t="inlineStr">
        <is>
          <t>Define how the system is verified (built right) and validated (built the right thing): testing methodologies, test-data selection, release-criteria thresholds and acceptable error rates for the use case.</t>
        </is>
      </c>
      <c r="E22" s="12" t="inlineStr">
        <is>
          <t>Model Developer / Indep. Validation</t>
        </is>
      </c>
      <c r="F22" s="28" t="inlineStr">
        <is>
          <t>Not started</t>
        </is>
      </c>
      <c r="G22" s="28" t="n"/>
      <c r="H22" s="12" t="n"/>
      <c r="I22" s="12" t="n"/>
      <c r="J22" s="12" t="n"/>
      <c r="K22" s="12" t="n"/>
      <c r="L22" s="12" t="inlineStr">
        <is>
          <t>Play 3, 8</t>
        </is>
      </c>
      <c r="M22" s="12" t="n"/>
      <c r="N22" s="12" t="n"/>
    </row>
    <row r="23" ht="55.5" customHeight="1" s="1">
      <c r="A23" s="29" t="inlineStr">
        <is>
          <t>A.6 AI system life cycle</t>
        </is>
      </c>
      <c r="B23" s="30" t="inlineStr">
        <is>
          <t>A.6.2.5</t>
        </is>
      </c>
      <c r="C23" s="29" t="inlineStr">
        <is>
          <t>AI system deployment</t>
        </is>
      </c>
      <c r="D23" s="29" t="inlineStr">
        <is>
          <t>Maintain a written deployment plan with release criteria, approvals and rollback; do not release until satisfied, especially when the deployment environment differs from development.</t>
        </is>
      </c>
      <c r="E23" s="29" t="inlineStr">
        <is>
          <t>Model Developer / Indep. Validation</t>
        </is>
      </c>
      <c r="F23" s="31" t="inlineStr">
        <is>
          <t>Not started</t>
        </is>
      </c>
      <c r="G23" s="31" t="n"/>
      <c r="H23" s="29" t="n"/>
      <c r="I23" s="29" t="n"/>
      <c r="J23" s="29" t="n"/>
      <c r="K23" s="29" t="n"/>
      <c r="L23" s="12" t="inlineStr">
        <is>
          <t>Play 4</t>
        </is>
      </c>
      <c r="M23" s="12" t="n"/>
      <c r="N23" s="12" t="n"/>
    </row>
    <row r="24" ht="55.5" customHeight="1" s="1">
      <c r="A24" s="12" t="inlineStr">
        <is>
          <t>A.6 AI system life cycle</t>
        </is>
      </c>
      <c r="B24" s="11" t="inlineStr">
        <is>
          <t>A.6.2.6</t>
        </is>
      </c>
      <c r="C24" s="12" t="inlineStr">
        <is>
          <t>AI system operation and monitoring</t>
        </is>
      </c>
      <c r="D24" s="12" t="inlineStr">
        <is>
          <t>Define day-to-day running: performance monitoring (incl. drift, continuous-learning changes, AI-specific threats like data poisoning), repairs, updates and user support, each with clear ownership.</t>
        </is>
      </c>
      <c r="E24" s="12" t="inlineStr">
        <is>
          <t>Model Developer / Indep. Validation</t>
        </is>
      </c>
      <c r="F24" s="28" t="inlineStr">
        <is>
          <t>Not started</t>
        </is>
      </c>
      <c r="G24" s="28" t="n"/>
      <c r="H24" s="12" t="n"/>
      <c r="I24" s="12" t="n"/>
      <c r="J24" s="12" t="n"/>
      <c r="K24" s="12" t="n"/>
      <c r="L24" s="12" t="inlineStr">
        <is>
          <t>Play 5, 6, 9</t>
        </is>
      </c>
      <c r="M24" s="12" t="n"/>
      <c r="N24" s="12" t="n"/>
    </row>
    <row r="25" ht="55.5" customHeight="1" s="1">
      <c r="A25" s="29" t="inlineStr">
        <is>
          <t>A.6 AI system life cycle</t>
        </is>
      </c>
      <c r="B25" s="30" t="inlineStr">
        <is>
          <t>A.6.2.7</t>
        </is>
      </c>
      <c r="C25" s="29" t="inlineStr">
        <is>
          <t>AI system technical documentation</t>
        </is>
      </c>
      <c r="D25" s="29" t="inlineStr">
        <is>
          <t>Decide what technical documentation each audience (users, partners, auditors, regulators) needs and deliver it usably: intended purpose, usage instructions, run-time assumptions, limitations, monitoring functions.</t>
        </is>
      </c>
      <c r="E25" s="29" t="inlineStr">
        <is>
          <t>Model Developer / Indep. Validation</t>
        </is>
      </c>
      <c r="F25" s="31" t="inlineStr">
        <is>
          <t>Not started</t>
        </is>
      </c>
      <c r="G25" s="31" t="n"/>
      <c r="H25" s="29" t="n"/>
      <c r="I25" s="29" t="n"/>
      <c r="J25" s="29" t="n"/>
      <c r="K25" s="29" t="n"/>
      <c r="L25" s="12" t="n"/>
      <c r="M25" s="12" t="n"/>
      <c r="N25" s="12" t="n"/>
    </row>
    <row r="26" ht="55.5" customHeight="1" s="1">
      <c r="A26" s="12" t="inlineStr">
        <is>
          <t>A.6 AI system life cycle</t>
        </is>
      </c>
      <c r="B26" s="11" t="inlineStr">
        <is>
          <t>A.6.2.8</t>
        </is>
      </c>
      <c r="C26" s="12" t="inlineStr">
        <is>
          <t>AI system recording of event logs</t>
        </is>
      </c>
      <c r="D26" s="12" t="inlineStr">
        <is>
          <t>Decide what events get logged and at which stages (at minimum during operation) to evidence behaviour, trace issues, support audit/incident response and detect drift outside intended conditions.</t>
        </is>
      </c>
      <c r="E26" s="12" t="inlineStr">
        <is>
          <t>Model Developer / Indep. Validation</t>
        </is>
      </c>
      <c r="F26" s="28" t="inlineStr">
        <is>
          <t>Not started</t>
        </is>
      </c>
      <c r="G26" s="28" t="n"/>
      <c r="H26" s="12" t="n"/>
      <c r="I26" s="12" t="n"/>
      <c r="J26" s="12" t="n"/>
      <c r="K26" s="12" t="n"/>
      <c r="L26" s="12" t="n"/>
      <c r="M26" s="12" t="n"/>
      <c r="N26" s="12" t="n"/>
    </row>
    <row r="27" ht="55.5" customHeight="1" s="1">
      <c r="A27" s="29" t="inlineStr">
        <is>
          <t>A.7 Data for AI systems</t>
        </is>
      </c>
      <c r="B27" s="30" t="inlineStr">
        <is>
          <t>A.7.2</t>
        </is>
      </c>
      <c r="C27" s="29" t="inlineStr">
        <is>
          <t>Data for development and enhancement of AI system</t>
        </is>
      </c>
      <c r="D27" s="29" t="inlineStr">
        <is>
          <t>Operate data-management processes for development data: privacy and security, representativeness against the operational domain, explainability/provenance, and accuracy/integrity of underlying data.</t>
        </is>
      </c>
      <c r="E27" s="29" t="inlineStr">
        <is>
          <t>Data Owner / Steward</t>
        </is>
      </c>
      <c r="F27" s="31" t="inlineStr">
        <is>
          <t>Not started</t>
        </is>
      </c>
      <c r="G27" s="31" t="n"/>
      <c r="H27" s="29" t="n"/>
      <c r="I27" s="29" t="n"/>
      <c r="J27" s="29" t="n"/>
      <c r="K27" s="29" t="n"/>
      <c r="L27" s="12" t="inlineStr">
        <is>
          <t>Play 3</t>
        </is>
      </c>
      <c r="M27" s="12" t="n"/>
      <c r="N27" s="12" t="n"/>
    </row>
    <row r="28" ht="55.5" customHeight="1" s="1">
      <c r="A28" s="12" t="inlineStr">
        <is>
          <t>A.7 Data for AI systems</t>
        </is>
      </c>
      <c r="B28" s="11" t="inlineStr">
        <is>
          <t>A.7.3</t>
        </is>
      </c>
      <c r="C28" s="12" t="inlineStr">
        <is>
          <t>Acquisition of data</t>
        </is>
      </c>
      <c r="D28" s="12" t="inlineStr">
        <is>
          <t>Document where each dataset comes from and how it was chosen (internal/purchased/shared/open/synthetic, static/streamed), known biases, data rights, prior uses and metadata, so downstream decisions are defensible.</t>
        </is>
      </c>
      <c r="E28" s="12" t="inlineStr">
        <is>
          <t>Data Owner / Steward</t>
        </is>
      </c>
      <c r="F28" s="28" t="inlineStr">
        <is>
          <t>Not started</t>
        </is>
      </c>
      <c r="G28" s="28" t="n"/>
      <c r="H28" s="12" t="n"/>
      <c r="I28" s="12" t="n"/>
      <c r="J28" s="12" t="n"/>
      <c r="K28" s="12" t="n"/>
      <c r="L28" s="12" t="inlineStr">
        <is>
          <t>Play 3</t>
        </is>
      </c>
      <c r="M28" s="12" t="n"/>
      <c r="N28" s="12" t="n"/>
    </row>
    <row r="29" ht="55.5" customHeight="1" s="1">
      <c r="A29" s="29" t="inlineStr">
        <is>
          <t>A.7 Data for AI systems</t>
        </is>
      </c>
      <c r="B29" s="30" t="inlineStr">
        <is>
          <t>A.7.4</t>
        </is>
      </c>
      <c r="C29" s="29" t="inlineStr">
        <is>
          <t>Quality of data for AI systems</t>
        </is>
      </c>
      <c r="D29" s="29" t="inlineStr">
        <is>
          <t>Set explicit data-quality criteria (accuracy, completeness, currency, representativeness), verify training and production data meet them, and address fairness/bias impact, adjusting data or model as needed.</t>
        </is>
      </c>
      <c r="E29" s="29" t="inlineStr">
        <is>
          <t>Data Owner / Steward</t>
        </is>
      </c>
      <c r="F29" s="31" t="inlineStr">
        <is>
          <t>Not started</t>
        </is>
      </c>
      <c r="G29" s="31" t="n"/>
      <c r="H29" s="29" t="n"/>
      <c r="I29" s="29" t="n"/>
      <c r="J29" s="29" t="n"/>
      <c r="K29" s="29" t="n"/>
      <c r="L29" s="12" t="inlineStr">
        <is>
          <t>Play 3</t>
        </is>
      </c>
      <c r="M29" s="12" t="n"/>
      <c r="N29" s="12" t="n"/>
    </row>
    <row r="30" ht="55.5" customHeight="1" s="1">
      <c r="A30" s="12" t="inlineStr">
        <is>
          <t>A.7 Data for AI systems</t>
        </is>
      </c>
      <c r="B30" s="11" t="inlineStr">
        <is>
          <t>A.7.5</t>
        </is>
      </c>
      <c r="C30" s="12" t="inlineStr">
        <is>
          <t>Data provenance</t>
        </is>
      </c>
      <c r="D30" s="12" t="inlineStr">
        <is>
          <t>Track where each dataset came from and what happened to it (creation, updates, transformations, validation, transfers, sharing) across the data and system life cycles so lineage stays recoverable.</t>
        </is>
      </c>
      <c r="E30" s="12" t="inlineStr">
        <is>
          <t>Data Owner / Steward</t>
        </is>
      </c>
      <c r="F30" s="28" t="inlineStr">
        <is>
          <t>Not started</t>
        </is>
      </c>
      <c r="G30" s="28" t="n"/>
      <c r="H30" s="12" t="n"/>
      <c r="I30" s="12" t="n"/>
      <c r="J30" s="12" t="n"/>
      <c r="K30" s="12" t="n"/>
      <c r="L30" s="12" t="inlineStr">
        <is>
          <t>Play 3</t>
        </is>
      </c>
      <c r="M30" s="12" t="n"/>
      <c r="N30" s="12" t="n"/>
    </row>
    <row r="31" ht="55.5" customHeight="1" s="1">
      <c r="A31" s="29" t="inlineStr">
        <is>
          <t>A.7 Data for AI systems</t>
        </is>
      </c>
      <c r="B31" s="30" t="inlineStr">
        <is>
          <t>A.7.6</t>
        </is>
      </c>
      <c r="C31" s="29" t="inlineStr">
        <is>
          <t>Data preparation</t>
        </is>
      </c>
      <c r="D31" s="29" t="inlineStr">
        <is>
          <t>Decide which data-preparation techniques (cleaning, labelling, augmentation, normalisation, encoding) are acceptable, document the methods chosen per dataset and record the rationale so choices can be reviewed/repeated.</t>
        </is>
      </c>
      <c r="E31" s="29" t="inlineStr">
        <is>
          <t>Data Owner / Steward</t>
        </is>
      </c>
      <c r="F31" s="31" t="inlineStr">
        <is>
          <t>Not started</t>
        </is>
      </c>
      <c r="G31" s="31" t="n"/>
      <c r="H31" s="29" t="n"/>
      <c r="I31" s="29" t="n"/>
      <c r="J31" s="29" t="n"/>
      <c r="K31" s="29" t="n"/>
      <c r="L31" s="12" t="inlineStr">
        <is>
          <t>Play 3</t>
        </is>
      </c>
      <c r="M31" s="12" t="n"/>
      <c r="N31" s="12" t="n"/>
    </row>
    <row r="32" ht="55.5" customHeight="1" s="1">
      <c r="A32" s="12" t="inlineStr">
        <is>
          <t>A.8 Information for interested parties</t>
        </is>
      </c>
      <c r="B32" s="11" t="inlineStr">
        <is>
          <t>A.8.2</t>
        </is>
      </c>
      <c r="C32" s="12" t="inlineStr">
        <is>
          <t>System documentation and information for users</t>
        </is>
      </c>
      <c r="D32" s="12" t="inlineStr">
        <is>
          <t>Give users enough information to operate the system safely and responsibly: capabilities, limits, expected inputs/outputs, known failure modes and human-oversight options, in plain language.</t>
        </is>
      </c>
      <c r="E32" s="12" t="inlineStr">
        <is>
          <t>Compliance &amp; Legal</t>
        </is>
      </c>
      <c r="F32" s="28" t="inlineStr">
        <is>
          <t>Not started</t>
        </is>
      </c>
      <c r="G32" s="28" t="n"/>
      <c r="H32" s="12" t="n"/>
      <c r="I32" s="12" t="n"/>
      <c r="J32" s="12" t="n"/>
      <c r="K32" s="12" t="n"/>
      <c r="L32" s="12" t="inlineStr">
        <is>
          <t>Play 11</t>
        </is>
      </c>
      <c r="M32" s="12" t="n"/>
      <c r="N32" s="12" t="n"/>
    </row>
    <row r="33" ht="55.5" customHeight="1" s="1">
      <c r="A33" s="29" t="inlineStr">
        <is>
          <t>A.8 Information for interested parties</t>
        </is>
      </c>
      <c r="B33" s="30" t="inlineStr">
        <is>
          <t>A.8.3</t>
        </is>
      </c>
      <c r="C33" s="29" t="inlineStr">
        <is>
          <t>External reporting</t>
        </is>
      </c>
      <c r="D33" s="29" t="inlineStr">
        <is>
          <t>Provide a way for anyone affected (customers, data subjects, public) to report problems, complaints or unintended consequences, and define how reports are triaged, investigated and resolved.</t>
        </is>
      </c>
      <c r="E33" s="29" t="inlineStr">
        <is>
          <t>Compliance &amp; Legal</t>
        </is>
      </c>
      <c r="F33" s="31" t="inlineStr">
        <is>
          <t>Not started</t>
        </is>
      </c>
      <c r="G33" s="31" t="n"/>
      <c r="H33" s="29" t="n"/>
      <c r="I33" s="29" t="n"/>
      <c r="J33" s="29" t="n"/>
      <c r="K33" s="29" t="n"/>
      <c r="L33" s="12" t="inlineStr">
        <is>
          <t>Play 11</t>
        </is>
      </c>
      <c r="M33" s="12" t="n"/>
      <c r="N33" s="12" t="n"/>
    </row>
    <row r="34" ht="55.5" customHeight="1" s="1">
      <c r="A34" s="12" t="inlineStr">
        <is>
          <t>A.8 Information for interested parties</t>
        </is>
      </c>
      <c r="B34" s="11" t="inlineStr">
        <is>
          <t>A.8.4</t>
        </is>
      </c>
      <c r="C34" s="12" t="inlineStr">
        <is>
          <t>Communication of incidents</t>
        </is>
      </c>
      <c r="D34" s="12" t="inlineStr">
        <is>
          <t>Plan in advance how to inform users and affected parties when an AI incident occurs: what to say, who says it, how fast and through what channel, aligned with regulatory notification obligations.</t>
        </is>
      </c>
      <c r="E34" s="12" t="inlineStr">
        <is>
          <t>Compliance &amp; Legal</t>
        </is>
      </c>
      <c r="F34" s="28" t="inlineStr">
        <is>
          <t>Not started</t>
        </is>
      </c>
      <c r="G34" s="28" t="n"/>
      <c r="H34" s="12" t="n"/>
      <c r="I34" s="12" t="n"/>
      <c r="J34" s="12" t="n"/>
      <c r="K34" s="12" t="n"/>
      <c r="L34" s="12" t="inlineStr">
        <is>
          <t>Play 6, 11</t>
        </is>
      </c>
      <c r="M34" s="12" t="n"/>
      <c r="N34" s="12" t="n"/>
    </row>
    <row r="35" ht="55.5" customHeight="1" s="1">
      <c r="A35" s="29" t="inlineStr">
        <is>
          <t>A.8 Information for interested parties</t>
        </is>
      </c>
      <c r="B35" s="30" t="inlineStr">
        <is>
          <t>A.8.5</t>
        </is>
      </c>
      <c r="C35" s="29" t="inlineStr">
        <is>
          <t>Information for interested parties</t>
        </is>
      </c>
      <c r="D35" s="29" t="inlineStr">
        <is>
          <t>Decide what other AI-system information (beyond incidents) must be proactively shared with regulators, partners, customers and the public, and document how, when and in what form.</t>
        </is>
      </c>
      <c r="E35" s="29" t="inlineStr">
        <is>
          <t>Compliance &amp; Legal</t>
        </is>
      </c>
      <c r="F35" s="31" t="inlineStr">
        <is>
          <t>Not started</t>
        </is>
      </c>
      <c r="G35" s="31" t="n"/>
      <c r="H35" s="29" t="n"/>
      <c r="I35" s="29" t="n"/>
      <c r="J35" s="29" t="n"/>
      <c r="K35" s="29" t="n"/>
      <c r="L35" s="12" t="inlineStr">
        <is>
          <t>Play 11</t>
        </is>
      </c>
      <c r="M35" s="12" t="n"/>
      <c r="N35" s="12" t="n"/>
    </row>
    <row r="36" ht="55.5" customHeight="1" s="1">
      <c r="A36" s="12" t="inlineStr">
        <is>
          <t>A.9 Use of AI systems</t>
        </is>
      </c>
      <c r="B36" s="11" t="inlineStr">
        <is>
          <t>A.9.2</t>
        </is>
      </c>
      <c r="C36" s="12" t="inlineStr">
        <is>
          <t>Processes for responsible use of AI systems</t>
        </is>
      </c>
      <c r="D36" s="12" t="inlineStr">
        <is>
          <t>Document how the system is meant to be used responsibly: human-oversight expectations, acceptable-use rules, escalation paths, operator training and conditions under which use is paused or stopped.</t>
        </is>
      </c>
      <c r="E36" s="12" t="inlineStr">
        <is>
          <t>Model Owner (1st line)</t>
        </is>
      </c>
      <c r="F36" s="28" t="inlineStr">
        <is>
          <t>Not started</t>
        </is>
      </c>
      <c r="G36" s="28" t="n"/>
      <c r="H36" s="12" t="n"/>
      <c r="I36" s="12" t="n"/>
      <c r="J36" s="12" t="n"/>
      <c r="K36" s="12" t="n"/>
      <c r="L36" s="12" t="inlineStr">
        <is>
          <t>Play 4</t>
        </is>
      </c>
      <c r="M36" s="12" t="n"/>
      <c r="N36" s="12" t="n"/>
    </row>
    <row r="37" ht="55.5" customHeight="1" s="1">
      <c r="A37" s="29" t="inlineStr">
        <is>
          <t>A.9 Use of AI systems</t>
        </is>
      </c>
      <c r="B37" s="30" t="inlineStr">
        <is>
          <t>A.9.3</t>
        </is>
      </c>
      <c r="C37" s="29" t="inlineStr">
        <is>
          <t>Objectives for responsible use of AI system</t>
        </is>
      </c>
      <c r="D37" s="29" t="inlineStr">
        <is>
          <t>Define responsible-use objectives the system is operated against (fairness thresholds, human-in-the-loop requirements, safety tolerances) so operational decisions have a clear reference.</t>
        </is>
      </c>
      <c r="E37" s="29" t="inlineStr">
        <is>
          <t>Model Owner (1st line)</t>
        </is>
      </c>
      <c r="F37" s="31" t="inlineStr">
        <is>
          <t>Not started</t>
        </is>
      </c>
      <c r="G37" s="31" t="n"/>
      <c r="H37" s="29" t="n"/>
      <c r="I37" s="29" t="n"/>
      <c r="J37" s="29" t="n"/>
      <c r="K37" s="29" t="n"/>
      <c r="L37" s="12" t="inlineStr">
        <is>
          <t>Play 4, 11</t>
        </is>
      </c>
      <c r="M37" s="12" t="n"/>
      <c r="N37" s="12" t="n"/>
    </row>
    <row r="38" ht="55.5" customHeight="1" s="1">
      <c r="A38" s="12" t="inlineStr">
        <is>
          <t>A.9 Use of AI systems</t>
        </is>
      </c>
      <c r="B38" s="11" t="inlineStr">
        <is>
          <t>A.9.4</t>
        </is>
      </c>
      <c r="C38" s="12" t="inlineStr">
        <is>
          <t>Intended use of the AI system</t>
        </is>
      </c>
      <c r="D38" s="12" t="inlineStr">
        <is>
          <t>Prevent scope creep: ensure the system is used for its designed purpose, with controls that stop it being repurposed, extended or used in unintended contexts without re-assessment.</t>
        </is>
      </c>
      <c r="E38" s="12" t="inlineStr">
        <is>
          <t>Model Owner (1st line)</t>
        </is>
      </c>
      <c r="F38" s="28" t="inlineStr">
        <is>
          <t>Not started</t>
        </is>
      </c>
      <c r="G38" s="28" t="n"/>
      <c r="H38" s="12" t="n"/>
      <c r="I38" s="12" t="n"/>
      <c r="J38" s="12" t="n"/>
      <c r="K38" s="12" t="n"/>
      <c r="L38" s="12" t="inlineStr">
        <is>
          <t>Play 4, 11</t>
        </is>
      </c>
      <c r="M38" s="12" t="n"/>
      <c r="N38" s="12" t="n"/>
    </row>
    <row r="39" ht="55.5" customHeight="1" s="1">
      <c r="A39" s="29" t="inlineStr">
        <is>
          <t>A.10 Third-party and customer relationships</t>
        </is>
      </c>
      <c r="B39" s="30" t="inlineStr">
        <is>
          <t>A.10.2</t>
        </is>
      </c>
      <c r="C39" s="29" t="inlineStr">
        <is>
          <t>Allocation of responsibilities</t>
        </is>
      </c>
      <c r="D39" s="29" t="inlineStr">
        <is>
          <t>Make explicit who is responsible for what across the AI supply chain (organisation, suppliers, partners, customers, third parties) so there are no accountability gaps across the life cycle.</t>
        </is>
      </c>
      <c r="E39" s="29" t="inlineStr">
        <is>
          <t>Procurement + AI Risk</t>
        </is>
      </c>
      <c r="F39" s="31" t="inlineStr">
        <is>
          <t>Not started</t>
        </is>
      </c>
      <c r="G39" s="31" t="n"/>
      <c r="H39" s="29" t="n"/>
      <c r="I39" s="29" t="n"/>
      <c r="J39" s="29" t="n"/>
      <c r="K39" s="29" t="n"/>
      <c r="L39" s="12" t="inlineStr">
        <is>
          <t>Play 7</t>
        </is>
      </c>
      <c r="M39" s="12" t="n"/>
      <c r="N39" s="12" t="n"/>
    </row>
    <row r="40" ht="55.5" customHeight="1" s="1">
      <c r="A40" s="12" t="inlineStr">
        <is>
          <t>A.10 Third-party and customer relationships</t>
        </is>
      </c>
      <c r="B40" s="11" t="inlineStr">
        <is>
          <t>A.10.3</t>
        </is>
      </c>
      <c r="C40" s="12" t="inlineStr">
        <is>
          <t>Suppliers</t>
        </is>
      </c>
      <c r="D40" s="12" t="inlineStr">
        <is>
          <t>Vet and manage suppliers of AI services, data, models and tooling against responsible-AI expectations via due diligence, contracts, assessments and ongoing oversight.</t>
        </is>
      </c>
      <c r="E40" s="12" t="inlineStr">
        <is>
          <t>Procurement + AI Risk</t>
        </is>
      </c>
      <c r="F40" s="28" t="inlineStr">
        <is>
          <t>Not started</t>
        </is>
      </c>
      <c r="G40" s="28" t="n"/>
      <c r="H40" s="12" t="n"/>
      <c r="I40" s="12" t="n"/>
      <c r="J40" s="12" t="n"/>
      <c r="K40" s="12" t="n"/>
      <c r="L40" s="12" t="inlineStr">
        <is>
          <t>Play 7</t>
        </is>
      </c>
      <c r="M40" s="12" t="n"/>
      <c r="N40" s="12" t="n"/>
    </row>
    <row r="41" ht="55.5" customHeight="1" s="1">
      <c r="A41" s="29" t="inlineStr">
        <is>
          <t>A.10 Third-party and customer relationships</t>
        </is>
      </c>
      <c r="B41" s="30" t="inlineStr">
        <is>
          <t>A.10.4</t>
        </is>
      </c>
      <c r="C41" s="29" t="inlineStr">
        <is>
          <t>Customers</t>
        </is>
      </c>
      <c r="D41" s="29" t="inlineStr">
        <is>
          <t>Factor customer obligations (contracts, regulatory promises, duty of care, trust commitments) into the responsible-AI approach before decisions about development, provision or use are finalised.</t>
        </is>
      </c>
      <c r="E41" s="29" t="inlineStr">
        <is>
          <t>Procurement + AI Risk</t>
        </is>
      </c>
      <c r="F41" s="31" t="inlineStr">
        <is>
          <t>Not started</t>
        </is>
      </c>
      <c r="G41" s="31" t="n"/>
      <c r="H41" s="29" t="n"/>
      <c r="I41" s="29" t="n"/>
      <c r="J41" s="29" t="n"/>
      <c r="K41" s="29" t="n"/>
      <c r="L41" s="12" t="inlineStr">
        <is>
          <t>Play 7</t>
        </is>
      </c>
      <c r="M41" s="12" t="n"/>
      <c r="N41" s="12" t="n"/>
    </row>
  </sheetData>
  <autoFilter ref="A3:N41"/>
  <mergeCells count="1">
    <mergeCell ref="A1:D1"/>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5.xml><?xml version="1.0" encoding="utf-8"?>
<worksheet xmlns="http://schemas.openxmlformats.org/spreadsheetml/2006/main">
  <sheetPr filterMode="0">
    <outlinePr applyStyles="0" summaryBelow="1" summaryRight="1" showOutlineSymbols="1"/>
    <pageSetUpPr autoPageBreaks="1" fitToPage="0"/>
  </sheetPr>
  <dimension ref="A1:O75"/>
  <sheetViews>
    <sheetView showFormulas="0" showGridLines="0" showRowColHeaders="1" showZeros="1" rightToLeft="0" view="normal" topLeftCell="A1" zoomScale="100" workbookViewId="0">
      <pane ySplit="3" topLeftCell="A4" activePane="bottomLeft" state="frozen"/>
      <selection activeCell="A1" activeCellId="0" sqref="A1"/>
    </sheetView>
  </sheetViews>
  <sheetFormatPr baseColWidth="8" defaultColWidth="8.6796875" defaultRowHeight="15"/>
  <cols>
    <col width="12" customWidth="1" style="1" min="1" max="1"/>
    <col width="13" customWidth="1" style="1" min="2" max="2"/>
    <col width="40" customWidth="1" style="1" min="3" max="3"/>
    <col width="13" customWidth="1" style="1" min="4" max="4"/>
    <col width="55" customWidth="1" style="1" min="5" max="5"/>
    <col width="24" customWidth="1" style="1" min="6" max="6"/>
    <col width="18" customWidth="1" style="1" min="7" max="7"/>
    <col width="12" customWidth="1" style="1" min="8" max="8"/>
    <col width="26" customWidth="1" style="1" min="9" max="9"/>
    <col width="13" customWidth="1" style="1" min="10" max="11"/>
    <col width="30" customWidth="1" style="1" min="12" max="12"/>
    <col width="16" customWidth="1" style="1" min="13" max="13"/>
    <col width="24" customWidth="1" style="1" min="14" max="14"/>
    <col width="30" customWidth="1" style="1" min="15" max="15"/>
  </cols>
  <sheetData>
    <row r="1" ht="15.75" customHeight="1" s="1">
      <c r="A1" s="9" t="inlineStr">
        <is>
          <t>Control Library - NIST AI RMF — Control Tracker</t>
        </is>
      </c>
    </row>
    <row r="3" ht="23.25" customHeight="1" s="1">
      <c r="A3" s="32" t="inlineStr">
        <is>
          <t>Function</t>
        </is>
      </c>
      <c r="B3" s="32" t="inlineStr">
        <is>
          <t>Category</t>
        </is>
      </c>
      <c r="C3" s="32" t="inlineStr">
        <is>
          <t>Category statement</t>
        </is>
      </c>
      <c r="D3" s="32" t="inlineStr">
        <is>
          <t>Subcategory</t>
        </is>
      </c>
      <c r="E3" s="32" t="inlineStr">
        <is>
          <t>Subcategory outcome</t>
        </is>
      </c>
      <c r="F3" s="32" t="inlineStr">
        <is>
          <t>Owner (role)</t>
        </is>
      </c>
      <c r="G3" s="32" t="inlineStr">
        <is>
          <t>Status</t>
        </is>
      </c>
      <c r="H3" s="32" t="inlineStr">
        <is>
          <t>Maturity (1-5)</t>
        </is>
      </c>
      <c r="I3" s="32" t="inlineStr">
        <is>
          <t>Evidence / artifact</t>
        </is>
      </c>
      <c r="J3" s="32" t="inlineStr">
        <is>
          <t>Last reviewed</t>
        </is>
      </c>
      <c r="K3" s="32" t="inlineStr">
        <is>
          <t>Next review</t>
        </is>
      </c>
      <c r="L3" s="32" t="inlineStr">
        <is>
          <t>Gap / notes</t>
        </is>
      </c>
      <c r="M3" s="32" t="inlineStr">
        <is>
          <t>Linked play</t>
        </is>
      </c>
      <c r="N3" s="32" t="inlineStr">
        <is>
          <t>Test of Design</t>
        </is>
      </c>
      <c r="O3" s="32" t="inlineStr">
        <is>
          <t>Test of Operating Effectiveness</t>
        </is>
      </c>
    </row>
    <row r="4" ht="55.5" customHeight="1" s="1">
      <c r="A4" s="12" t="inlineStr">
        <is>
          <t>GOVERN</t>
        </is>
      </c>
      <c r="B4" s="11" t="inlineStr">
        <is>
          <t>GOVERN 1</t>
        </is>
      </c>
      <c r="C4" s="12" t="inlineStr">
        <is>
          <t>Policies, processes, procedures and practices across the organization related to the mapping, measuring and managing of AI risks are in place, transparent, and implemented effectively.</t>
        </is>
      </c>
      <c r="D4" s="12" t="inlineStr">
        <is>
          <t>GOVERN 1.1</t>
        </is>
      </c>
      <c r="E4" s="12" t="inlineStr">
        <is>
          <t>Legal and regulatory requirements involving AI are understood, managed, and documented.</t>
        </is>
      </c>
      <c r="F4" s="12" t="inlineStr">
        <is>
          <t>AI Risk Cttee / Senior Mgmt</t>
        </is>
      </c>
      <c r="G4" s="28" t="inlineStr">
        <is>
          <t>Not started</t>
        </is>
      </c>
      <c r="H4" s="28" t="n"/>
      <c r="I4" s="12" t="n"/>
      <c r="J4" s="12" t="n"/>
      <c r="K4" s="12" t="n"/>
      <c r="L4" s="12" t="n"/>
      <c r="M4" s="12" t="n"/>
      <c r="N4" s="12" t="n"/>
      <c r="O4" s="12" t="n"/>
    </row>
    <row r="5" ht="55.5" customHeight="1" s="1">
      <c r="A5" s="29" t="inlineStr">
        <is>
          <t>GOVERN</t>
        </is>
      </c>
      <c r="B5" s="30" t="inlineStr">
        <is>
          <t>GOVERN 1</t>
        </is>
      </c>
      <c r="C5" s="29" t="n"/>
      <c r="D5" s="29" t="inlineStr">
        <is>
          <t>GOVERN 1.2</t>
        </is>
      </c>
      <c r="E5" s="29" t="inlineStr">
        <is>
          <t>The characteristics of trustworthy AI are integrated into organizational policies, processes, procedures, and practices.</t>
        </is>
      </c>
      <c r="F5" s="29" t="inlineStr">
        <is>
          <t>AI Risk Cttee / Senior Mgmt</t>
        </is>
      </c>
      <c r="G5" s="31" t="inlineStr">
        <is>
          <t>Not started</t>
        </is>
      </c>
      <c r="H5" s="31" t="n"/>
      <c r="I5" s="29" t="n"/>
      <c r="J5" s="29" t="n"/>
      <c r="K5" s="29" t="n"/>
      <c r="L5" s="29" t="n"/>
      <c r="M5" s="12" t="n"/>
      <c r="N5" s="12" t="n"/>
      <c r="O5" s="12" t="n"/>
    </row>
    <row r="6" ht="55.5" customHeight="1" s="1">
      <c r="A6" s="12" t="inlineStr">
        <is>
          <t>GOVERN</t>
        </is>
      </c>
      <c r="B6" s="11" t="inlineStr">
        <is>
          <t>GOVERN 1</t>
        </is>
      </c>
      <c r="C6" s="12" t="n"/>
      <c r="D6" s="12" t="inlineStr">
        <is>
          <t>GOVERN 1.3</t>
        </is>
      </c>
      <c r="E6" s="12" t="inlineStr">
        <is>
          <t>Processes, procedures and practices are in place to determine the needed level of risk management activities based on the organization's risk tolerance.</t>
        </is>
      </c>
      <c r="F6" s="12" t="inlineStr">
        <is>
          <t>AI Risk Cttee / Senior Mgmt</t>
        </is>
      </c>
      <c r="G6" s="28" t="inlineStr">
        <is>
          <t>Not started</t>
        </is>
      </c>
      <c r="H6" s="28" t="n"/>
      <c r="I6" s="12" t="n"/>
      <c r="J6" s="12" t="n"/>
      <c r="K6" s="12" t="n"/>
      <c r="L6" s="12" t="n"/>
      <c r="M6" s="12" t="n"/>
      <c r="N6" s="12" t="n"/>
      <c r="O6" s="12" t="n"/>
    </row>
    <row r="7" ht="55.5" customHeight="1" s="1">
      <c r="A7" s="29" t="inlineStr">
        <is>
          <t>GOVERN</t>
        </is>
      </c>
      <c r="B7" s="30" t="inlineStr">
        <is>
          <t>GOVERN 1</t>
        </is>
      </c>
      <c r="C7" s="29" t="n"/>
      <c r="D7" s="29" t="inlineStr">
        <is>
          <t>GOVERN 1.4</t>
        </is>
      </c>
      <c r="E7" s="29" t="inlineStr">
        <is>
          <t>The risk management process and its outcomes are established through transparent policies, procedures and other controls based on organizational risk priorities.</t>
        </is>
      </c>
      <c r="F7" s="29" t="inlineStr">
        <is>
          <t>AI Risk Cttee / Senior Mgmt</t>
        </is>
      </c>
      <c r="G7" s="31" t="inlineStr">
        <is>
          <t>Not started</t>
        </is>
      </c>
      <c r="H7" s="31" t="n"/>
      <c r="I7" s="29" t="n"/>
      <c r="J7" s="29" t="n"/>
      <c r="K7" s="29" t="n"/>
      <c r="L7" s="29" t="n"/>
      <c r="M7" s="12" t="n"/>
      <c r="N7" s="12" t="n"/>
      <c r="O7" s="12" t="n"/>
    </row>
    <row r="8" ht="55.5" customHeight="1" s="1">
      <c r="A8" s="12" t="inlineStr">
        <is>
          <t>GOVERN</t>
        </is>
      </c>
      <c r="B8" s="11" t="inlineStr">
        <is>
          <t>GOVERN 1</t>
        </is>
      </c>
      <c r="C8" s="12" t="n"/>
      <c r="D8" s="12" t="inlineStr">
        <is>
          <t>GOVERN 1.5</t>
        </is>
      </c>
      <c r="E8" s="12" t="inlineStr">
        <is>
          <t>Ongoing monitoring and periodic review of the risk management process and its outcomes are planned, and organizational roles and responsibilities are clearly defined, including determining the frequency of periodic review.</t>
        </is>
      </c>
      <c r="F8" s="12" t="inlineStr">
        <is>
          <t>AI Risk Cttee / Senior Mgmt</t>
        </is>
      </c>
      <c r="G8" s="28" t="inlineStr">
        <is>
          <t>Not started</t>
        </is>
      </c>
      <c r="H8" s="28" t="n"/>
      <c r="I8" s="12" t="n"/>
      <c r="J8" s="12" t="n"/>
      <c r="K8" s="12" t="n"/>
      <c r="L8" s="12" t="n"/>
      <c r="M8" s="12" t="n"/>
      <c r="N8" s="12" t="n"/>
      <c r="O8" s="12" t="n"/>
    </row>
    <row r="9" ht="55.5" customHeight="1" s="1">
      <c r="A9" s="29" t="inlineStr">
        <is>
          <t>GOVERN</t>
        </is>
      </c>
      <c r="B9" s="30" t="inlineStr">
        <is>
          <t>GOVERN 1</t>
        </is>
      </c>
      <c r="C9" s="29" t="n"/>
      <c r="D9" s="29" t="inlineStr">
        <is>
          <t>GOVERN 1.6</t>
        </is>
      </c>
      <c r="E9" s="29" t="inlineStr">
        <is>
          <t>Mechanisms are in place to inventory AI systems and are resourced according to organizational risk priorities.</t>
        </is>
      </c>
      <c r="F9" s="29" t="inlineStr">
        <is>
          <t>AI Risk Cttee / Senior Mgmt</t>
        </is>
      </c>
      <c r="G9" s="31" t="inlineStr">
        <is>
          <t>Not started</t>
        </is>
      </c>
      <c r="H9" s="31" t="n"/>
      <c r="I9" s="29" t="n"/>
      <c r="J9" s="29" t="n"/>
      <c r="K9" s="29" t="n"/>
      <c r="L9" s="29" t="n"/>
      <c r="M9" s="12" t="inlineStr">
        <is>
          <t>Play 1</t>
        </is>
      </c>
      <c r="N9" s="12" t="n"/>
      <c r="O9" s="12" t="n"/>
    </row>
    <row r="10" ht="55.5" customHeight="1" s="1">
      <c r="A10" s="12" t="inlineStr">
        <is>
          <t>GOVERN</t>
        </is>
      </c>
      <c r="B10" s="11" t="inlineStr">
        <is>
          <t>GOVERN 1</t>
        </is>
      </c>
      <c r="C10" s="12" t="n"/>
      <c r="D10" s="12" t="inlineStr">
        <is>
          <t>GOVERN 1.7</t>
        </is>
      </c>
      <c r="E10" s="12" t="inlineStr">
        <is>
          <t>Processes and procedures are in place for decommissioning and phasing out AI systems safely and in a manner that does not increase risks or decrease the organization's trustworthiness.</t>
        </is>
      </c>
      <c r="F10" s="12" t="inlineStr">
        <is>
          <t>AI Risk Cttee / Senior Mgmt</t>
        </is>
      </c>
      <c r="G10" s="28" t="inlineStr">
        <is>
          <t>Not started</t>
        </is>
      </c>
      <c r="H10" s="28" t="n"/>
      <c r="I10" s="12" t="n"/>
      <c r="J10" s="12" t="n"/>
      <c r="K10" s="12" t="n"/>
      <c r="L10" s="12" t="n"/>
      <c r="M10" s="12" t="inlineStr">
        <is>
          <t>Play 9</t>
        </is>
      </c>
      <c r="N10" s="12" t="n"/>
      <c r="O10" s="12" t="n"/>
    </row>
    <row r="11" ht="55.5" customHeight="1" s="1">
      <c r="A11" s="29" t="inlineStr">
        <is>
          <t>GOVERN</t>
        </is>
      </c>
      <c r="B11" s="30" t="inlineStr">
        <is>
          <t>GOVERN 2</t>
        </is>
      </c>
      <c r="C11" s="29" t="inlineStr">
        <is>
          <t>Accountability structures are in place so that the appropriate teams and individuals are empowered, responsible, and trained for mapping, measuring and managing AI risks.</t>
        </is>
      </c>
      <c r="D11" s="29" t="inlineStr">
        <is>
          <t>GOVERN 2.1</t>
        </is>
      </c>
      <c r="E11" s="29" t="inlineStr">
        <is>
          <t>Roles and responsibilities and lines of communication related to mapping, measuring and managing AI risks are documented and are clear to individuals and teams throughout the organization.</t>
        </is>
      </c>
      <c r="F11" s="29" t="inlineStr">
        <is>
          <t>AI Risk Cttee / Senior Mgmt</t>
        </is>
      </c>
      <c r="G11" s="31" t="inlineStr">
        <is>
          <t>Not started</t>
        </is>
      </c>
      <c r="H11" s="31" t="n"/>
      <c r="I11" s="29" t="n"/>
      <c r="J11" s="29" t="n"/>
      <c r="K11" s="29" t="n"/>
      <c r="L11" s="29" t="n"/>
      <c r="M11" s="12" t="n"/>
      <c r="N11" s="12" t="n"/>
      <c r="O11" s="12" t="n"/>
    </row>
    <row r="12" ht="55.5" customHeight="1" s="1">
      <c r="A12" s="12" t="inlineStr">
        <is>
          <t>GOVERN</t>
        </is>
      </c>
      <c r="B12" s="11" t="inlineStr">
        <is>
          <t>GOVERN 2</t>
        </is>
      </c>
      <c r="C12" s="12" t="n"/>
      <c r="D12" s="12" t="inlineStr">
        <is>
          <t>GOVERN 2.2</t>
        </is>
      </c>
      <c r="E12" s="12" t="inlineStr">
        <is>
          <t>The organization's personnel and partners receive AI risk management training to enable them to perform their duties and responsibilities consistent with related policies, procedures and agreements.</t>
        </is>
      </c>
      <c r="F12" s="12" t="inlineStr">
        <is>
          <t>AI Risk Cttee / Senior Mgmt</t>
        </is>
      </c>
      <c r="G12" s="28" t="inlineStr">
        <is>
          <t>Not started</t>
        </is>
      </c>
      <c r="H12" s="28" t="n"/>
      <c r="I12" s="12" t="n"/>
      <c r="J12" s="12" t="n"/>
      <c r="K12" s="12" t="n"/>
      <c r="L12" s="12" t="n"/>
      <c r="M12" s="12" t="n"/>
      <c r="N12" s="12" t="n"/>
      <c r="O12" s="12" t="n"/>
    </row>
    <row r="13" ht="55.5" customHeight="1" s="1">
      <c r="A13" s="29" t="inlineStr">
        <is>
          <t>GOVERN</t>
        </is>
      </c>
      <c r="B13" s="30" t="inlineStr">
        <is>
          <t>GOVERN 2</t>
        </is>
      </c>
      <c r="C13" s="29" t="n"/>
      <c r="D13" s="29" t="inlineStr">
        <is>
          <t>GOVERN 2.3</t>
        </is>
      </c>
      <c r="E13" s="29" t="inlineStr">
        <is>
          <t>Executive leadership of the organization takes responsibility for decisions about risks associated with AI system development and deployment.</t>
        </is>
      </c>
      <c r="F13" s="29" t="inlineStr">
        <is>
          <t>AI Risk Cttee / Senior Mgmt</t>
        </is>
      </c>
      <c r="G13" s="31" t="inlineStr">
        <is>
          <t>Not started</t>
        </is>
      </c>
      <c r="H13" s="31" t="n"/>
      <c r="I13" s="29" t="n"/>
      <c r="J13" s="29" t="n"/>
      <c r="K13" s="29" t="n"/>
      <c r="L13" s="29" t="n"/>
      <c r="M13" s="12" t="n"/>
      <c r="N13" s="12" t="n"/>
      <c r="O13" s="12" t="n"/>
    </row>
    <row r="14" ht="55.5" customHeight="1" s="1">
      <c r="A14" s="12" t="inlineStr">
        <is>
          <t>GOVERN</t>
        </is>
      </c>
      <c r="B14" s="11" t="inlineStr">
        <is>
          <t>GOVERN 3</t>
        </is>
      </c>
      <c r="C14" s="12" t="inlineStr">
        <is>
          <t>Workforce diversity, equity, inclusion and accessibility processes are prioritized in the mapping, measuring and managing of AI risks throughout the lifecycle.</t>
        </is>
      </c>
      <c r="D14" s="12" t="inlineStr">
        <is>
          <t>GOVERN 3.1</t>
        </is>
      </c>
      <c r="E14" s="12" t="inlineStr">
        <is>
          <t>Decision-making related to mapping, measuring and managing AI risks throughout the lifecycle is informed by a diverse team (e.g., diversity of demographics, disciplines, experience, expertise, and backgrounds).</t>
        </is>
      </c>
      <c r="F14" s="12" t="inlineStr">
        <is>
          <t>AI Risk Cttee / Senior Mgmt</t>
        </is>
      </c>
      <c r="G14" s="28" t="inlineStr">
        <is>
          <t>Not started</t>
        </is>
      </c>
      <c r="H14" s="28" t="n"/>
      <c r="I14" s="12" t="n"/>
      <c r="J14" s="12" t="n"/>
      <c r="K14" s="12" t="n"/>
      <c r="L14" s="12" t="n"/>
      <c r="M14" s="12" t="n"/>
      <c r="N14" s="12" t="n"/>
      <c r="O14" s="12" t="n"/>
    </row>
    <row r="15" ht="55.5" customHeight="1" s="1">
      <c r="A15" s="29" t="inlineStr">
        <is>
          <t>GOVERN</t>
        </is>
      </c>
      <c r="B15" s="30" t="inlineStr">
        <is>
          <t>GOVERN 3</t>
        </is>
      </c>
      <c r="C15" s="29" t="n"/>
      <c r="D15" s="29" t="inlineStr">
        <is>
          <t>GOVERN 3.2</t>
        </is>
      </c>
      <c r="E15" s="29" t="inlineStr">
        <is>
          <t>Policies and procedures are in place to define and differentiate roles and responsibilities for human-AI configurations and oversight of AI systems.</t>
        </is>
      </c>
      <c r="F15" s="29" t="inlineStr">
        <is>
          <t>AI Risk Cttee / Senior Mgmt</t>
        </is>
      </c>
      <c r="G15" s="31" t="inlineStr">
        <is>
          <t>Not started</t>
        </is>
      </c>
      <c r="H15" s="31" t="n"/>
      <c r="I15" s="29" t="n"/>
      <c r="J15" s="29" t="n"/>
      <c r="K15" s="29" t="n"/>
      <c r="L15" s="29" t="n"/>
      <c r="M15" s="12" t="n"/>
      <c r="N15" s="12" t="n"/>
      <c r="O15" s="12" t="n"/>
    </row>
    <row r="16" ht="55.5" customHeight="1" s="1">
      <c r="A16" s="12" t="inlineStr">
        <is>
          <t>GOVERN</t>
        </is>
      </c>
      <c r="B16" s="11" t="inlineStr">
        <is>
          <t>GOVERN 4</t>
        </is>
      </c>
      <c r="C16" s="12" t="inlineStr">
        <is>
          <t>Organizational teams are committed to a culture that considers and communicates AI risk.</t>
        </is>
      </c>
      <c r="D16" s="12" t="inlineStr">
        <is>
          <t>GOVERN 4.1</t>
        </is>
      </c>
      <c r="E16" s="12" t="inlineStr">
        <is>
          <t>Organizational policies and practices are in place to foster a critical thinking and safety-first mindset in the design, development, deployment, and uses of AI systems to minimize potential negative impacts.</t>
        </is>
      </c>
      <c r="F16" s="12" t="inlineStr">
        <is>
          <t>AI Risk Cttee / Senior Mgmt</t>
        </is>
      </c>
      <c r="G16" s="28" t="inlineStr">
        <is>
          <t>Not started</t>
        </is>
      </c>
      <c r="H16" s="28" t="n"/>
      <c r="I16" s="12" t="n"/>
      <c r="J16" s="12" t="n"/>
      <c r="K16" s="12" t="n"/>
      <c r="L16" s="12" t="n"/>
      <c r="M16" s="12" t="n"/>
      <c r="N16" s="12" t="n"/>
      <c r="O16" s="12" t="n"/>
    </row>
    <row r="17" ht="55.5" customHeight="1" s="1">
      <c r="A17" s="29" t="inlineStr">
        <is>
          <t>GOVERN</t>
        </is>
      </c>
      <c r="B17" s="30" t="inlineStr">
        <is>
          <t>GOVERN 4</t>
        </is>
      </c>
      <c r="C17" s="29" t="n"/>
      <c r="D17" s="29" t="inlineStr">
        <is>
          <t>GOVERN 4.2</t>
        </is>
      </c>
      <c r="E17" s="29" t="inlineStr">
        <is>
          <t>Organizational teams document the risks and potential impacts of the AI technology they design, develop, deploy, evaluate and use, and they communicate about the impacts more broadly.</t>
        </is>
      </c>
      <c r="F17" s="29" t="inlineStr">
        <is>
          <t>AI Risk Cttee / Senior Mgmt</t>
        </is>
      </c>
      <c r="G17" s="31" t="inlineStr">
        <is>
          <t>Not started</t>
        </is>
      </c>
      <c r="H17" s="31" t="n"/>
      <c r="I17" s="29" t="n"/>
      <c r="J17" s="29" t="n"/>
      <c r="K17" s="29" t="n"/>
      <c r="L17" s="29" t="n"/>
      <c r="M17" s="12" t="n"/>
      <c r="N17" s="12" t="n"/>
      <c r="O17" s="12" t="n"/>
    </row>
    <row r="18" ht="55.5" customHeight="1" s="1">
      <c r="A18" s="12" t="inlineStr">
        <is>
          <t>GOVERN</t>
        </is>
      </c>
      <c r="B18" s="11" t="inlineStr">
        <is>
          <t>GOVERN 4</t>
        </is>
      </c>
      <c r="C18" s="12" t="n"/>
      <c r="D18" s="12" t="inlineStr">
        <is>
          <t>GOVERN 4.3</t>
        </is>
      </c>
      <c r="E18" s="12" t="inlineStr">
        <is>
          <t>Organizational practices are in place to enable AI testing, identification of incidents, and information sharing.</t>
        </is>
      </c>
      <c r="F18" s="12" t="inlineStr">
        <is>
          <t>AI Risk Cttee / Senior Mgmt</t>
        </is>
      </c>
      <c r="G18" s="28" t="inlineStr">
        <is>
          <t>Not started</t>
        </is>
      </c>
      <c r="H18" s="28" t="n"/>
      <c r="I18" s="12" t="n"/>
      <c r="J18" s="12" t="n"/>
      <c r="K18" s="12" t="n"/>
      <c r="L18" s="12" t="n"/>
      <c r="M18" s="12" t="inlineStr">
        <is>
          <t>Play 6</t>
        </is>
      </c>
      <c r="N18" s="12" t="n"/>
      <c r="O18" s="12" t="n"/>
    </row>
    <row r="19" ht="55.5" customHeight="1" s="1">
      <c r="A19" s="29" t="inlineStr">
        <is>
          <t>GOVERN</t>
        </is>
      </c>
      <c r="B19" s="30" t="inlineStr">
        <is>
          <t>GOVERN 5</t>
        </is>
      </c>
      <c r="C19" s="29" t="inlineStr">
        <is>
          <t>Processes are in place for robust engagement with relevant AI actors.</t>
        </is>
      </c>
      <c r="D19" s="29" t="inlineStr">
        <is>
          <t>GOVERN 5.1</t>
        </is>
      </c>
      <c r="E19" s="29" t="inlineStr">
        <is>
          <t>Organizational policies and practices are in place to collect, consider, prioritize and integrate feedback from those external to the team that developed or deployed the AI system regarding the potential individual and societal impacts related to AI risks.</t>
        </is>
      </c>
      <c r="F19" s="29" t="inlineStr">
        <is>
          <t>AI Risk Cttee / Senior Mgmt</t>
        </is>
      </c>
      <c r="G19" s="31" t="inlineStr">
        <is>
          <t>Not started</t>
        </is>
      </c>
      <c r="H19" s="31" t="n"/>
      <c r="I19" s="29" t="n"/>
      <c r="J19" s="29" t="n"/>
      <c r="K19" s="29" t="n"/>
      <c r="L19" s="29" t="n"/>
      <c r="M19" s="12" t="inlineStr">
        <is>
          <t>Play 11</t>
        </is>
      </c>
      <c r="N19" s="12" t="n"/>
      <c r="O19" s="12" t="n"/>
    </row>
    <row r="20" ht="55.5" customHeight="1" s="1">
      <c r="A20" s="12" t="inlineStr">
        <is>
          <t>GOVERN</t>
        </is>
      </c>
      <c r="B20" s="11" t="inlineStr">
        <is>
          <t>GOVERN 5</t>
        </is>
      </c>
      <c r="C20" s="12" t="n"/>
      <c r="D20" s="12" t="inlineStr">
        <is>
          <t>GOVERN 5.2</t>
        </is>
      </c>
      <c r="E20" s="12" t="inlineStr">
        <is>
          <t>Mechanisms are established to enable the team that developed or deployed AI systems to regularly incorporate adjudicated feedback from relevant AI actors into system design and implementation.</t>
        </is>
      </c>
      <c r="F20" s="12" t="inlineStr">
        <is>
          <t>AI Risk Cttee / Senior Mgmt</t>
        </is>
      </c>
      <c r="G20" s="28" t="inlineStr">
        <is>
          <t>Not started</t>
        </is>
      </c>
      <c r="H20" s="28" t="n"/>
      <c r="I20" s="12" t="n"/>
      <c r="J20" s="12" t="n"/>
      <c r="K20" s="12" t="n"/>
      <c r="L20" s="12" t="n"/>
      <c r="M20" s="12" t="n"/>
      <c r="N20" s="12" t="n"/>
      <c r="O20" s="12" t="n"/>
    </row>
    <row r="21" ht="55.5" customHeight="1" s="1">
      <c r="A21" s="29" t="inlineStr">
        <is>
          <t>GOVERN</t>
        </is>
      </c>
      <c r="B21" s="30" t="inlineStr">
        <is>
          <t>GOVERN 6</t>
        </is>
      </c>
      <c r="C21" s="29" t="inlineStr">
        <is>
          <t>Policies and procedures are in place to address AI risks and benefits arising from third-party software and data and other supply chain issues.</t>
        </is>
      </c>
      <c r="D21" s="29" t="inlineStr">
        <is>
          <t>GOVERN 6.1</t>
        </is>
      </c>
      <c r="E21" s="29" t="inlineStr">
        <is>
          <t>Policies and procedures are in place that address AI risks associated with third-party entities, including risks of infringement of a third party's intellectual property or other rights.</t>
        </is>
      </c>
      <c r="F21" s="29" t="inlineStr">
        <is>
          <t>AI Risk Cttee / Senior Mgmt</t>
        </is>
      </c>
      <c r="G21" s="31" t="inlineStr">
        <is>
          <t>Not started</t>
        </is>
      </c>
      <c r="H21" s="31" t="n"/>
      <c r="I21" s="29" t="n"/>
      <c r="J21" s="29" t="n"/>
      <c r="K21" s="29" t="n"/>
      <c r="L21" s="29" t="n"/>
      <c r="M21" s="12" t="inlineStr">
        <is>
          <t>Play 7</t>
        </is>
      </c>
      <c r="N21" s="12" t="n"/>
      <c r="O21" s="12" t="n"/>
    </row>
    <row r="22" ht="55.5" customHeight="1" s="1">
      <c r="A22" s="12" t="inlineStr">
        <is>
          <t>GOVERN</t>
        </is>
      </c>
      <c r="B22" s="11" t="inlineStr">
        <is>
          <t>GOVERN 6</t>
        </is>
      </c>
      <c r="C22" s="12" t="n"/>
      <c r="D22" s="12" t="inlineStr">
        <is>
          <t>GOVERN 6.2</t>
        </is>
      </c>
      <c r="E22" s="12" t="inlineStr">
        <is>
          <t>Contingency processes are in place to handle failures or incidents in third-party data or AI systems deemed to be high-risk.</t>
        </is>
      </c>
      <c r="F22" s="12" t="inlineStr">
        <is>
          <t>AI Risk Cttee / Senior Mgmt</t>
        </is>
      </c>
      <c r="G22" s="28" t="inlineStr">
        <is>
          <t>Not started</t>
        </is>
      </c>
      <c r="H22" s="28" t="n"/>
      <c r="I22" s="12" t="n"/>
      <c r="J22" s="12" t="n"/>
      <c r="K22" s="12" t="n"/>
      <c r="L22" s="12" t="n"/>
      <c r="M22" s="12" t="inlineStr">
        <is>
          <t>Play 7</t>
        </is>
      </c>
      <c r="N22" s="12" t="n"/>
      <c r="O22" s="12" t="n"/>
    </row>
    <row r="23" ht="55.5" customHeight="1" s="1">
      <c r="A23" s="29" t="inlineStr">
        <is>
          <t>MAP</t>
        </is>
      </c>
      <c r="B23" s="30" t="inlineStr">
        <is>
          <t>MAP 1</t>
        </is>
      </c>
      <c r="C23" s="29" t="inlineStr">
        <is>
          <t>Context is established and understood.</t>
        </is>
      </c>
      <c r="D23" s="29" t="inlineStr">
        <is>
          <t>MAP 1.1</t>
        </is>
      </c>
      <c r="E23" s="29" t="inlineStr">
        <is>
          <t>Intended purposes, potentially beneficial uses, context-specific laws, norms and expectations, and prospective settings in which the AI system will be deployed are understood and documented.</t>
        </is>
      </c>
      <c r="F23" s="29" t="inlineStr">
        <is>
          <t>Model Owner + AI Risk</t>
        </is>
      </c>
      <c r="G23" s="31" t="inlineStr">
        <is>
          <t>Not started</t>
        </is>
      </c>
      <c r="H23" s="31" t="n"/>
      <c r="I23" s="29" t="n"/>
      <c r="J23" s="29" t="n"/>
      <c r="K23" s="29" t="n"/>
      <c r="L23" s="29" t="n"/>
      <c r="M23" s="12" t="inlineStr">
        <is>
          <t>Play 1</t>
        </is>
      </c>
      <c r="N23" s="12" t="n"/>
      <c r="O23" s="12" t="n"/>
    </row>
    <row r="24" ht="55.5" customHeight="1" s="1">
      <c r="A24" s="12" t="inlineStr">
        <is>
          <t>MAP</t>
        </is>
      </c>
      <c r="B24" s="11" t="inlineStr">
        <is>
          <t>MAP 1</t>
        </is>
      </c>
      <c r="C24" s="12" t="n"/>
      <c r="D24" s="12" t="inlineStr">
        <is>
          <t>MAP 1.2</t>
        </is>
      </c>
      <c r="E24" s="1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24" s="12" t="inlineStr">
        <is>
          <t>Model Owner + AI Risk</t>
        </is>
      </c>
      <c r="G24" s="28" t="inlineStr">
        <is>
          <t>Not started</t>
        </is>
      </c>
      <c r="H24" s="28" t="n"/>
      <c r="I24" s="12" t="n"/>
      <c r="J24" s="12" t="n"/>
      <c r="K24" s="12" t="n"/>
      <c r="L24" s="12" t="n"/>
      <c r="M24" s="12" t="n"/>
      <c r="N24" s="12" t="n"/>
      <c r="O24" s="12" t="n"/>
    </row>
    <row r="25" ht="55.5" customHeight="1" s="1">
      <c r="A25" s="29" t="inlineStr">
        <is>
          <t>MAP</t>
        </is>
      </c>
      <c r="B25" s="30" t="inlineStr">
        <is>
          <t>MAP 1</t>
        </is>
      </c>
      <c r="C25" s="29" t="n"/>
      <c r="D25" s="29" t="inlineStr">
        <is>
          <t>MAP 1.3</t>
        </is>
      </c>
      <c r="E25" s="29" t="inlineStr">
        <is>
          <t>The organization's mission and relevant goals for AI technology are understood and documented.</t>
        </is>
      </c>
      <c r="F25" s="29" t="inlineStr">
        <is>
          <t>Model Owner + AI Risk</t>
        </is>
      </c>
      <c r="G25" s="31" t="inlineStr">
        <is>
          <t>Not started</t>
        </is>
      </c>
      <c r="H25" s="31" t="n"/>
      <c r="I25" s="29" t="n"/>
      <c r="J25" s="29" t="n"/>
      <c r="K25" s="29" t="n"/>
      <c r="L25" s="29" t="n"/>
      <c r="M25" s="12" t="n"/>
      <c r="N25" s="12" t="n"/>
      <c r="O25" s="12" t="n"/>
    </row>
    <row r="26" ht="55.5" customHeight="1" s="1">
      <c r="A26" s="12" t="inlineStr">
        <is>
          <t>MAP</t>
        </is>
      </c>
      <c r="B26" s="11" t="inlineStr">
        <is>
          <t>MAP 1</t>
        </is>
      </c>
      <c r="C26" s="12" t="n"/>
      <c r="D26" s="12" t="inlineStr">
        <is>
          <t>MAP 1.4</t>
        </is>
      </c>
      <c r="E26" s="12" t="inlineStr">
        <is>
          <t>The business value or context of business use has been clearly defined or, in the case of assessing existing AI systems, re-evaluated.</t>
        </is>
      </c>
      <c r="F26" s="12" t="inlineStr">
        <is>
          <t>Model Owner + AI Risk</t>
        </is>
      </c>
      <c r="G26" s="28" t="inlineStr">
        <is>
          <t>Not started</t>
        </is>
      </c>
      <c r="H26" s="28" t="n"/>
      <c r="I26" s="12" t="n"/>
      <c r="J26" s="12" t="n"/>
      <c r="K26" s="12" t="n"/>
      <c r="L26" s="12" t="n"/>
      <c r="M26" s="12" t="n"/>
      <c r="N26" s="12" t="n"/>
      <c r="O26" s="12" t="n"/>
    </row>
    <row r="27" ht="55.5" customHeight="1" s="1">
      <c r="A27" s="29" t="inlineStr">
        <is>
          <t>MAP</t>
        </is>
      </c>
      <c r="B27" s="30" t="inlineStr">
        <is>
          <t>MAP 1</t>
        </is>
      </c>
      <c r="C27" s="29" t="n"/>
      <c r="D27" s="29" t="inlineStr">
        <is>
          <t>MAP 1.5</t>
        </is>
      </c>
      <c r="E27" s="29" t="inlineStr">
        <is>
          <t>Organizational risk tolerances are determined and documented.</t>
        </is>
      </c>
      <c r="F27" s="29" t="inlineStr">
        <is>
          <t>Model Owner + AI Risk</t>
        </is>
      </c>
      <c r="G27" s="31" t="inlineStr">
        <is>
          <t>Not started</t>
        </is>
      </c>
      <c r="H27" s="31" t="n"/>
      <c r="I27" s="29" t="n"/>
      <c r="J27" s="29" t="n"/>
      <c r="K27" s="29" t="n"/>
      <c r="L27" s="29" t="n"/>
      <c r="M27" s="12" t="n"/>
      <c r="N27" s="12" t="n"/>
      <c r="O27" s="12" t="n"/>
    </row>
    <row r="28" ht="55.5" customHeight="1" s="1">
      <c r="A28" s="12" t="inlineStr">
        <is>
          <t>MAP</t>
        </is>
      </c>
      <c r="B28" s="11" t="inlineStr">
        <is>
          <t>MAP 1</t>
        </is>
      </c>
      <c r="C28" s="12" t="n"/>
      <c r="D28" s="12" t="inlineStr">
        <is>
          <t>MAP 1.6</t>
        </is>
      </c>
      <c r="E28" s="12" t="inlineStr">
        <is>
          <t>System requirements (e.g., the system shall respect the privacy of its users) are elicited from and understood by relevant AI actors. Design decisions take socio-technical implications into account to address AI risks.</t>
        </is>
      </c>
      <c r="F28" s="12" t="inlineStr">
        <is>
          <t>Model Owner + AI Risk</t>
        </is>
      </c>
      <c r="G28" s="28" t="inlineStr">
        <is>
          <t>Not started</t>
        </is>
      </c>
      <c r="H28" s="28" t="n"/>
      <c r="I28" s="12" t="n"/>
      <c r="J28" s="12" t="n"/>
      <c r="K28" s="12" t="n"/>
      <c r="L28" s="12" t="n"/>
      <c r="M28" s="12" t="n"/>
      <c r="N28" s="12" t="n"/>
      <c r="O28" s="12" t="n"/>
    </row>
    <row r="29" ht="55.5" customHeight="1" s="1">
      <c r="A29" s="29" t="inlineStr">
        <is>
          <t>MAP</t>
        </is>
      </c>
      <c r="B29" s="30" t="inlineStr">
        <is>
          <t>MAP 2</t>
        </is>
      </c>
      <c r="C29" s="29" t="inlineStr">
        <is>
          <t>Categorization of the AI system is performed.</t>
        </is>
      </c>
      <c r="D29" s="29" t="inlineStr">
        <is>
          <t>MAP 2.1</t>
        </is>
      </c>
      <c r="E29" s="29" t="inlineStr">
        <is>
          <t>The specific tasks and methods used to implement the tasks that the AI system will support are defined (e.g., classifiers, generative models, recommenders).</t>
        </is>
      </c>
      <c r="F29" s="29" t="inlineStr">
        <is>
          <t>Model Owner + AI Risk</t>
        </is>
      </c>
      <c r="G29" s="31" t="inlineStr">
        <is>
          <t>Not started</t>
        </is>
      </c>
      <c r="H29" s="31" t="n"/>
      <c r="I29" s="29" t="n"/>
      <c r="J29" s="29" t="n"/>
      <c r="K29" s="29" t="n"/>
      <c r="L29" s="29" t="n"/>
      <c r="M29" s="12" t="n"/>
      <c r="N29" s="12" t="n"/>
      <c r="O29" s="12" t="n"/>
    </row>
    <row r="30" ht="55.5" customHeight="1" s="1">
      <c r="A30" s="12" t="inlineStr">
        <is>
          <t>MAP</t>
        </is>
      </c>
      <c r="B30" s="11" t="inlineStr">
        <is>
          <t>MAP 2</t>
        </is>
      </c>
      <c r="C30" s="12" t="n"/>
      <c r="D30" s="12" t="inlineStr">
        <is>
          <t>MAP 2.2</t>
        </is>
      </c>
      <c r="E30" s="12" t="inlineStr">
        <is>
          <t>Information about the AI system's knowledge limits and how system output may be utilized and overseen by humans is documented.</t>
        </is>
      </c>
      <c r="F30" s="12" t="inlineStr">
        <is>
          <t>Model Owner + AI Risk</t>
        </is>
      </c>
      <c r="G30" s="28" t="inlineStr">
        <is>
          <t>Not started</t>
        </is>
      </c>
      <c r="H30" s="28" t="n"/>
      <c r="I30" s="12" t="n"/>
      <c r="J30" s="12" t="n"/>
      <c r="K30" s="12" t="n"/>
      <c r="L30" s="12" t="n"/>
      <c r="M30" s="12" t="n"/>
      <c r="N30" s="12" t="n"/>
      <c r="O30" s="12" t="n"/>
    </row>
    <row r="31" ht="55.5" customHeight="1" s="1">
      <c r="A31" s="29" t="inlineStr">
        <is>
          <t>MAP</t>
        </is>
      </c>
      <c r="B31" s="30" t="inlineStr">
        <is>
          <t>MAP 2</t>
        </is>
      </c>
      <c r="C31" s="29" t="n"/>
      <c r="D31" s="29" t="inlineStr">
        <is>
          <t>MAP 2.3</t>
        </is>
      </c>
      <c r="E31" s="29" t="inlineStr">
        <is>
          <t>Scientific integrity and TEVV considerations are identified and documented, including those related to experimental design, data collection and selection (e.g., availability, representativeness, suitability), system trustworthiness, and construct validation.</t>
        </is>
      </c>
      <c r="F31" s="29" t="inlineStr">
        <is>
          <t>Model Owner + AI Risk</t>
        </is>
      </c>
      <c r="G31" s="31" t="inlineStr">
        <is>
          <t>Not started</t>
        </is>
      </c>
      <c r="H31" s="31" t="n"/>
      <c r="I31" s="29" t="n"/>
      <c r="J31" s="29" t="n"/>
      <c r="K31" s="29" t="n"/>
      <c r="L31" s="29" t="n"/>
      <c r="M31" s="12" t="n"/>
      <c r="N31" s="12" t="n"/>
      <c r="O31" s="12" t="n"/>
    </row>
    <row r="32" ht="55.5" customHeight="1" s="1">
      <c r="A32" s="12" t="inlineStr">
        <is>
          <t>MAP</t>
        </is>
      </c>
      <c r="B32" s="11" t="inlineStr">
        <is>
          <t>MAP 3</t>
        </is>
      </c>
      <c r="C32" s="12" t="inlineStr">
        <is>
          <t>AI capabilities, targeted usage, goals, and expected benefits and costs compared with appropriate benchmarks are understood.</t>
        </is>
      </c>
      <c r="D32" s="12" t="inlineStr">
        <is>
          <t>MAP 3.1</t>
        </is>
      </c>
      <c r="E32" s="12" t="inlineStr">
        <is>
          <t>Potential benefits of intended AI system functionality and performance are examined and documented.</t>
        </is>
      </c>
      <c r="F32" s="12" t="inlineStr">
        <is>
          <t>Model Owner + AI Risk</t>
        </is>
      </c>
      <c r="G32" s="28" t="inlineStr">
        <is>
          <t>Not started</t>
        </is>
      </c>
      <c r="H32" s="28" t="n"/>
      <c r="I32" s="12" t="n"/>
      <c r="J32" s="12" t="n"/>
      <c r="K32" s="12" t="n"/>
      <c r="L32" s="12" t="n"/>
      <c r="M32" s="12" t="n"/>
      <c r="N32" s="12" t="n"/>
      <c r="O32" s="12" t="n"/>
    </row>
    <row r="33" ht="55.5" customHeight="1" s="1">
      <c r="A33" s="29" t="inlineStr">
        <is>
          <t>MAP</t>
        </is>
      </c>
      <c r="B33" s="30" t="inlineStr">
        <is>
          <t>MAP 3</t>
        </is>
      </c>
      <c r="C33" s="29" t="n"/>
      <c r="D33" s="29" t="inlineStr">
        <is>
          <t>MAP 3.2</t>
        </is>
      </c>
      <c r="E33" s="29" t="inlineStr">
        <is>
          <t>Potential costs, including non-monetary costs, which result from expected or realized AI errors or system functionality and trustworthiness, as connected to organizational risk tolerance, are examined and documented.</t>
        </is>
      </c>
      <c r="F33" s="29" t="inlineStr">
        <is>
          <t>Model Owner + AI Risk</t>
        </is>
      </c>
      <c r="G33" s="31" t="inlineStr">
        <is>
          <t>Not started</t>
        </is>
      </c>
      <c r="H33" s="31" t="n"/>
      <c r="I33" s="29" t="n"/>
      <c r="J33" s="29" t="n"/>
      <c r="K33" s="29" t="n"/>
      <c r="L33" s="29" t="n"/>
      <c r="M33" s="12" t="n"/>
      <c r="N33" s="12" t="n"/>
      <c r="O33" s="12" t="n"/>
    </row>
    <row r="34" ht="55.5" customHeight="1" s="1">
      <c r="A34" s="12" t="inlineStr">
        <is>
          <t>MAP</t>
        </is>
      </c>
      <c r="B34" s="11" t="inlineStr">
        <is>
          <t>MAP 3</t>
        </is>
      </c>
      <c r="C34" s="12" t="n"/>
      <c r="D34" s="12" t="inlineStr">
        <is>
          <t>MAP 3.3</t>
        </is>
      </c>
      <c r="E34" s="12" t="inlineStr">
        <is>
          <t>Targeted application scope is specified and documented based on the system's capability, established context, and AI system categorization.</t>
        </is>
      </c>
      <c r="F34" s="12" t="inlineStr">
        <is>
          <t>Model Owner + AI Risk</t>
        </is>
      </c>
      <c r="G34" s="28" t="inlineStr">
        <is>
          <t>Not started</t>
        </is>
      </c>
      <c r="H34" s="28" t="n"/>
      <c r="I34" s="12" t="n"/>
      <c r="J34" s="12" t="n"/>
      <c r="K34" s="12" t="n"/>
      <c r="L34" s="12" t="n"/>
      <c r="M34" s="12" t="n"/>
      <c r="N34" s="12" t="n"/>
      <c r="O34" s="12" t="n"/>
    </row>
    <row r="35" ht="55.5" customHeight="1" s="1">
      <c r="A35" s="29" t="inlineStr">
        <is>
          <t>MAP</t>
        </is>
      </c>
      <c r="B35" s="30" t="inlineStr">
        <is>
          <t>MAP 3</t>
        </is>
      </c>
      <c r="C35" s="29" t="n"/>
      <c r="D35" s="29" t="inlineStr">
        <is>
          <t>MAP 3.4</t>
        </is>
      </c>
      <c r="E35" s="29" t="inlineStr">
        <is>
          <t>Processes for operator and practitioner proficiency with AI system performance and trustworthiness, and relevant technical standards and certifications, are defined, assessed and documented.</t>
        </is>
      </c>
      <c r="F35" s="29" t="inlineStr">
        <is>
          <t>Model Owner + AI Risk</t>
        </is>
      </c>
      <c r="G35" s="31" t="inlineStr">
        <is>
          <t>Not started</t>
        </is>
      </c>
      <c r="H35" s="31" t="n"/>
      <c r="I35" s="29" t="n"/>
      <c r="J35" s="29" t="n"/>
      <c r="K35" s="29" t="n"/>
      <c r="L35" s="29" t="n"/>
      <c r="M35" s="12" t="n"/>
      <c r="N35" s="12" t="n"/>
      <c r="O35" s="12" t="n"/>
    </row>
    <row r="36" ht="55.5" customHeight="1" s="1">
      <c r="A36" s="12" t="inlineStr">
        <is>
          <t>MAP</t>
        </is>
      </c>
      <c r="B36" s="11" t="inlineStr">
        <is>
          <t>MAP 3</t>
        </is>
      </c>
      <c r="C36" s="12" t="n"/>
      <c r="D36" s="12" t="inlineStr">
        <is>
          <t>MAP 3.5</t>
        </is>
      </c>
      <c r="E36" s="12" t="inlineStr">
        <is>
          <t>Processes for human oversight are defined, assessed and documented in accordance with organizational policies from the GOVERN function.</t>
        </is>
      </c>
      <c r="F36" s="12" t="inlineStr">
        <is>
          <t>Model Owner + AI Risk</t>
        </is>
      </c>
      <c r="G36" s="28" t="inlineStr">
        <is>
          <t>Not started</t>
        </is>
      </c>
      <c r="H36" s="28" t="n"/>
      <c r="I36" s="12" t="n"/>
      <c r="J36" s="12" t="n"/>
      <c r="K36" s="12" t="n"/>
      <c r="L36" s="12" t="n"/>
      <c r="M36" s="12" t="n"/>
      <c r="N36" s="12" t="n"/>
      <c r="O36" s="12" t="n"/>
    </row>
    <row r="37" ht="55.5" customHeight="1" s="1">
      <c r="A37" s="29" t="inlineStr">
        <is>
          <t>MAP</t>
        </is>
      </c>
      <c r="B37" s="30" t="inlineStr">
        <is>
          <t>MAP 4</t>
        </is>
      </c>
      <c r="C37" s="29" t="inlineStr">
        <is>
          <t>Risks and benefits are mapped for all components of the AI system including third-party software and data.</t>
        </is>
      </c>
      <c r="D37" s="29" t="inlineStr">
        <is>
          <t>MAP 4.1</t>
        </is>
      </c>
      <c r="E37" s="29" t="inlineStr">
        <is>
          <t>Approaches for mapping AI technology and legal risks of its components, including the use of third-party data or software, are in place, followed and documented, as are risks of infringement of a third party's intellectual property or other rights.</t>
        </is>
      </c>
      <c r="F37" s="29" t="inlineStr">
        <is>
          <t>Model Owner + AI Risk</t>
        </is>
      </c>
      <c r="G37" s="31" t="inlineStr">
        <is>
          <t>Not started</t>
        </is>
      </c>
      <c r="H37" s="31" t="n"/>
      <c r="I37" s="29" t="n"/>
      <c r="J37" s="29" t="n"/>
      <c r="K37" s="29" t="n"/>
      <c r="L37" s="29" t="n"/>
      <c r="M37" s="12" t="inlineStr">
        <is>
          <t>Play 7</t>
        </is>
      </c>
      <c r="N37" s="12" t="n"/>
      <c r="O37" s="12" t="n"/>
    </row>
    <row r="38" ht="55.5" customHeight="1" s="1">
      <c r="A38" s="12" t="inlineStr">
        <is>
          <t>MAP</t>
        </is>
      </c>
      <c r="B38" s="11" t="inlineStr">
        <is>
          <t>MAP 4</t>
        </is>
      </c>
      <c r="C38" s="12" t="n"/>
      <c r="D38" s="12" t="inlineStr">
        <is>
          <t>MAP 4.2</t>
        </is>
      </c>
      <c r="E38" s="12" t="inlineStr">
        <is>
          <t>Internal risk controls for components of the AI system, including third-party AI technologies, are identified and documented.</t>
        </is>
      </c>
      <c r="F38" s="12" t="inlineStr">
        <is>
          <t>Model Owner + AI Risk</t>
        </is>
      </c>
      <c r="G38" s="28" t="inlineStr">
        <is>
          <t>Not started</t>
        </is>
      </c>
      <c r="H38" s="28" t="n"/>
      <c r="I38" s="12" t="n"/>
      <c r="J38" s="12" t="n"/>
      <c r="K38" s="12" t="n"/>
      <c r="L38" s="12" t="n"/>
      <c r="M38" s="12" t="n"/>
      <c r="N38" s="12" t="n"/>
      <c r="O38" s="12" t="n"/>
    </row>
    <row r="39" ht="55.5" customHeight="1" s="1">
      <c r="A39" s="29" t="inlineStr">
        <is>
          <t>MAP</t>
        </is>
      </c>
      <c r="B39" s="30" t="inlineStr">
        <is>
          <t>MAP 5</t>
        </is>
      </c>
      <c r="C39" s="29" t="inlineStr">
        <is>
          <t>Impacts to individuals, groups, communities, organizations, and society are characterized.</t>
        </is>
      </c>
      <c r="D39" s="29" t="inlineStr">
        <is>
          <t>MAP 5.1</t>
        </is>
      </c>
      <c r="E39" s="29" t="inlineStr">
        <is>
          <t>Likelihood and magnitude of each identified impact (both potentially beneficial and harmful) based on expected use, past uses of AI systems in similar contexts, public incident reports, feedback, or other data are identified and documented.</t>
        </is>
      </c>
      <c r="F39" s="29" t="inlineStr">
        <is>
          <t>Model Owner + AI Risk</t>
        </is>
      </c>
      <c r="G39" s="31" t="inlineStr">
        <is>
          <t>Not started</t>
        </is>
      </c>
      <c r="H39" s="31" t="n"/>
      <c r="I39" s="29" t="n"/>
      <c r="J39" s="29" t="n"/>
      <c r="K39" s="29" t="n"/>
      <c r="L39" s="29" t="n"/>
      <c r="M39" s="12" t="inlineStr">
        <is>
          <t>Play 2</t>
        </is>
      </c>
      <c r="N39" s="12" t="n"/>
      <c r="O39" s="12" t="n"/>
    </row>
    <row r="40" ht="55.5" customHeight="1" s="1">
      <c r="A40" s="12" t="inlineStr">
        <is>
          <t>MAP</t>
        </is>
      </c>
      <c r="B40" s="11" t="inlineStr">
        <is>
          <t>MAP 5</t>
        </is>
      </c>
      <c r="C40" s="12" t="n"/>
      <c r="D40" s="12" t="inlineStr">
        <is>
          <t>MAP 5.2</t>
        </is>
      </c>
      <c r="E40" s="12" t="inlineStr">
        <is>
          <t>Practices and personnel for supporting regular engagement with relevant AI actors and integrating feedback about positive, negative and unanticipated impacts are in place and documented.</t>
        </is>
      </c>
      <c r="F40" s="12" t="inlineStr">
        <is>
          <t>Model Owner + AI Risk</t>
        </is>
      </c>
      <c r="G40" s="28" t="inlineStr">
        <is>
          <t>Not started</t>
        </is>
      </c>
      <c r="H40" s="28" t="n"/>
      <c r="I40" s="12" t="n"/>
      <c r="J40" s="12" t="n"/>
      <c r="K40" s="12" t="n"/>
      <c r="L40" s="12" t="n"/>
      <c r="M40" s="12" t="inlineStr">
        <is>
          <t>Play 2</t>
        </is>
      </c>
      <c r="N40" s="12" t="n"/>
      <c r="O40" s="12" t="n"/>
    </row>
    <row r="41" ht="55.5" customHeight="1" s="1">
      <c r="A41" s="29" t="inlineStr">
        <is>
          <t>MEASURE</t>
        </is>
      </c>
      <c r="B41" s="30" t="inlineStr">
        <is>
          <t>MEASURE 1</t>
        </is>
      </c>
      <c r="C41" s="29" t="inlineStr">
        <is>
          <t>Appropriate methods and metrics are identified and applied.</t>
        </is>
      </c>
      <c r="D41" s="29" t="inlineStr">
        <is>
          <t>MEASURE 1.1</t>
        </is>
      </c>
      <c r="E41" s="29" t="inlineStr">
        <is>
          <t>Approaches and metrics for measurement of AI risks enumerated during the MAP function are selected for implementation starting with the most significant AI risks. Risks or trustworthiness characteristics that cannot be measured are properly documented.</t>
        </is>
      </c>
      <c r="F41" s="29" t="inlineStr">
        <is>
          <t>Indep. Validation / InfoSec</t>
        </is>
      </c>
      <c r="G41" s="31" t="inlineStr">
        <is>
          <t>Not started</t>
        </is>
      </c>
      <c r="H41" s="31" t="n"/>
      <c r="I41" s="29" t="n"/>
      <c r="J41" s="29" t="n"/>
      <c r="K41" s="29" t="n"/>
      <c r="L41" s="29" t="n"/>
      <c r="M41" s="12" t="inlineStr">
        <is>
          <t>Play 2</t>
        </is>
      </c>
      <c r="N41" s="12" t="n"/>
      <c r="O41" s="12" t="n"/>
    </row>
    <row r="42" ht="55.5" customHeight="1" s="1">
      <c r="A42" s="12" t="inlineStr">
        <is>
          <t>MEASURE</t>
        </is>
      </c>
      <c r="B42" s="11" t="inlineStr">
        <is>
          <t>MEASURE 1</t>
        </is>
      </c>
      <c r="C42" s="12" t="n"/>
      <c r="D42" s="12" t="inlineStr">
        <is>
          <t>MEASURE 1.2</t>
        </is>
      </c>
      <c r="E42" s="12" t="inlineStr">
        <is>
          <t>Appropriateness of AI metrics and effectiveness of existing controls are regularly assessed and updated, including reports of errors and potential impacts on affected communities.</t>
        </is>
      </c>
      <c r="F42" s="12" t="inlineStr">
        <is>
          <t>Indep. Validation / InfoSec</t>
        </is>
      </c>
      <c r="G42" s="28" t="inlineStr">
        <is>
          <t>Not started</t>
        </is>
      </c>
      <c r="H42" s="28" t="n"/>
      <c r="I42" s="12" t="n"/>
      <c r="J42" s="12" t="n"/>
      <c r="K42" s="12" t="n"/>
      <c r="L42" s="12" t="n"/>
      <c r="M42" s="12" t="inlineStr">
        <is>
          <t>Play 8</t>
        </is>
      </c>
      <c r="N42" s="12" t="n"/>
      <c r="O42" s="12" t="n"/>
    </row>
    <row r="43" ht="55.5" customHeight="1" s="1">
      <c r="A43" s="29" t="inlineStr">
        <is>
          <t>MEASURE</t>
        </is>
      </c>
      <c r="B43" s="30" t="inlineStr">
        <is>
          <t>MEASURE 1</t>
        </is>
      </c>
      <c r="C43" s="29" t="n"/>
      <c r="D43" s="29" t="inlineStr">
        <is>
          <t>MEASURE 1.3</t>
        </is>
      </c>
      <c r="E43" s="29" t="inlineStr">
        <is>
          <t>Internal experts who did not serve as front-line developers for the system and/or independent assessors are involved in regular assessments and updates. Domain experts, users, AI actors external to the team, and affected communities are consulted as necessary.</t>
        </is>
      </c>
      <c r="F43" s="29" t="inlineStr">
        <is>
          <t>Indep. Validation / InfoSec</t>
        </is>
      </c>
      <c r="G43" s="31" t="inlineStr">
        <is>
          <t>Not started</t>
        </is>
      </c>
      <c r="H43" s="31" t="n"/>
      <c r="I43" s="29" t="n"/>
      <c r="J43" s="29" t="n"/>
      <c r="K43" s="29" t="n"/>
      <c r="L43" s="29" t="n"/>
      <c r="M43" s="12" t="n"/>
      <c r="N43" s="12" t="n"/>
      <c r="O43" s="12" t="n"/>
    </row>
    <row r="44" ht="55.5" customHeight="1" s="1">
      <c r="A44" s="12" t="inlineStr">
        <is>
          <t>MEASURE</t>
        </is>
      </c>
      <c r="B44" s="11" t="inlineStr">
        <is>
          <t>MEASURE 2</t>
        </is>
      </c>
      <c r="C44" s="12" t="inlineStr">
        <is>
          <t>AI systems are evaluated for trustworthy characteristics.</t>
        </is>
      </c>
      <c r="D44" s="12" t="inlineStr">
        <is>
          <t>MEASURE 2.1</t>
        </is>
      </c>
      <c r="E44" s="12" t="inlineStr">
        <is>
          <t>Test sets, metrics and details about the tools used during TEVV are documented.</t>
        </is>
      </c>
      <c r="F44" s="12" t="inlineStr">
        <is>
          <t>Indep. Validation / InfoSec</t>
        </is>
      </c>
      <c r="G44" s="28" t="inlineStr">
        <is>
          <t>Not started</t>
        </is>
      </c>
      <c r="H44" s="28" t="n"/>
      <c r="I44" s="12" t="n"/>
      <c r="J44" s="12" t="n"/>
      <c r="K44" s="12" t="n"/>
      <c r="L44" s="12" t="n"/>
      <c r="M44" s="12" t="inlineStr">
        <is>
          <t>Play 3</t>
        </is>
      </c>
      <c r="N44" s="12" t="n"/>
      <c r="O44" s="12" t="n"/>
    </row>
    <row r="45" ht="55.5" customHeight="1" s="1">
      <c r="A45" s="29" t="inlineStr">
        <is>
          <t>MEASURE</t>
        </is>
      </c>
      <c r="B45" s="30" t="inlineStr">
        <is>
          <t>MEASURE 2</t>
        </is>
      </c>
      <c r="C45" s="29" t="n"/>
      <c r="D45" s="29" t="inlineStr">
        <is>
          <t>MEASURE 2.2</t>
        </is>
      </c>
      <c r="E45" s="29" t="inlineStr">
        <is>
          <t>Evaluations involving human subjects meet applicable requirements (including human subject protection) and are representative of the relevant population.</t>
        </is>
      </c>
      <c r="F45" s="29" t="inlineStr">
        <is>
          <t>Indep. Validation / InfoSec</t>
        </is>
      </c>
      <c r="G45" s="31" t="inlineStr">
        <is>
          <t>Not started</t>
        </is>
      </c>
      <c r="H45" s="31" t="n"/>
      <c r="I45" s="29" t="n"/>
      <c r="J45" s="29" t="n"/>
      <c r="K45" s="29" t="n"/>
      <c r="L45" s="29" t="n"/>
      <c r="M45" s="12" t="inlineStr">
        <is>
          <t>Play 3</t>
        </is>
      </c>
      <c r="N45" s="12" t="n"/>
      <c r="O45" s="12" t="n"/>
    </row>
    <row r="46" ht="55.5" customHeight="1" s="1">
      <c r="A46" s="12" t="inlineStr">
        <is>
          <t>MEASURE</t>
        </is>
      </c>
      <c r="B46" s="11" t="inlineStr">
        <is>
          <t>MEASURE 2</t>
        </is>
      </c>
      <c r="C46" s="12" t="n"/>
      <c r="D46" s="12" t="inlineStr">
        <is>
          <t>MEASURE 2.3</t>
        </is>
      </c>
      <c r="E46" s="12" t="inlineStr">
        <is>
          <t>AI system performance or assurance criteria are measured qualitatively or quantitatively and demonstrated for conditions similar to deployment setting(s). Measures are documented.</t>
        </is>
      </c>
      <c r="F46" s="12" t="inlineStr">
        <is>
          <t>Indep. Validation / InfoSec</t>
        </is>
      </c>
      <c r="G46" s="28" t="inlineStr">
        <is>
          <t>Not started</t>
        </is>
      </c>
      <c r="H46" s="28" t="n"/>
      <c r="I46" s="12" t="n"/>
      <c r="J46" s="12" t="n"/>
      <c r="K46" s="12" t="n"/>
      <c r="L46" s="12" t="n"/>
      <c r="M46" s="12" t="inlineStr">
        <is>
          <t>Play 3, 4</t>
        </is>
      </c>
      <c r="N46" s="12" t="n"/>
      <c r="O46" s="12" t="n"/>
    </row>
    <row r="47" ht="55.5" customHeight="1" s="1">
      <c r="A47" s="29" t="inlineStr">
        <is>
          <t>MEASURE</t>
        </is>
      </c>
      <c r="B47" s="30" t="inlineStr">
        <is>
          <t>MEASURE 2</t>
        </is>
      </c>
      <c r="C47" s="29" t="n"/>
      <c r="D47" s="29" t="inlineStr">
        <is>
          <t>MEASURE 2.4</t>
        </is>
      </c>
      <c r="E47" s="29" t="inlineStr">
        <is>
          <t>The functionality and behavior of the AI system and its components, as identified in the MAP function, are monitored when in production.</t>
        </is>
      </c>
      <c r="F47" s="29" t="inlineStr">
        <is>
          <t>Indep. Validation / InfoSec</t>
        </is>
      </c>
      <c r="G47" s="31" t="inlineStr">
        <is>
          <t>Not started</t>
        </is>
      </c>
      <c r="H47" s="31" t="n"/>
      <c r="I47" s="29" t="n"/>
      <c r="J47" s="29" t="n"/>
      <c r="K47" s="29" t="n"/>
      <c r="L47" s="29" t="n"/>
      <c r="M47" s="12" t="inlineStr">
        <is>
          <t>Play 3, 5</t>
        </is>
      </c>
      <c r="N47" s="12" t="n"/>
      <c r="O47" s="12" t="n"/>
    </row>
    <row r="48" ht="55.5" customHeight="1" s="1">
      <c r="A48" s="12" t="inlineStr">
        <is>
          <t>MEASURE</t>
        </is>
      </c>
      <c r="B48" s="11" t="inlineStr">
        <is>
          <t>MEASURE 2</t>
        </is>
      </c>
      <c r="C48" s="12" t="n"/>
      <c r="D48" s="12" t="inlineStr">
        <is>
          <t>MEASURE 2.5</t>
        </is>
      </c>
      <c r="E48" s="12" t="inlineStr">
        <is>
          <t>The AI system to be deployed is demonstrated to be valid and reliable. Limitations of the generalizability beyond the conditions under which the technology was developed are documented.</t>
        </is>
      </c>
      <c r="F48" s="12" t="inlineStr">
        <is>
          <t>Indep. Validation / InfoSec</t>
        </is>
      </c>
      <c r="G48" s="28" t="inlineStr">
        <is>
          <t>Not started</t>
        </is>
      </c>
      <c r="H48" s="28" t="n"/>
      <c r="I48" s="12" t="n"/>
      <c r="J48" s="12" t="n"/>
      <c r="K48" s="12" t="n"/>
      <c r="L48" s="12" t="n"/>
      <c r="M48" s="12" t="inlineStr">
        <is>
          <t>Play 3</t>
        </is>
      </c>
      <c r="N48" s="12" t="n"/>
      <c r="O48" s="12" t="n"/>
    </row>
    <row r="49" ht="55.5" customHeight="1" s="1">
      <c r="A49" s="29" t="inlineStr">
        <is>
          <t>MEASURE</t>
        </is>
      </c>
      <c r="B49" s="30" t="inlineStr">
        <is>
          <t>MEASURE 2</t>
        </is>
      </c>
      <c r="C49" s="29" t="n"/>
      <c r="D49" s="29" t="inlineStr">
        <is>
          <t>MEASURE 2.6</t>
        </is>
      </c>
      <c r="E49" s="29" t="inlineStr">
        <is>
          <t>The AI system is evaluated regularly for safety risks. It is demonstrated to be safe, its residual negative risk does not exceed the risk tolerance, and it can fail safely, particularly if made to operate beyond its knowledge limits.</t>
        </is>
      </c>
      <c r="F49" s="29" t="inlineStr">
        <is>
          <t>Indep. Validation / InfoSec</t>
        </is>
      </c>
      <c r="G49" s="31" t="inlineStr">
        <is>
          <t>Not started</t>
        </is>
      </c>
      <c r="H49" s="31" t="n"/>
      <c r="I49" s="29" t="n"/>
      <c r="J49" s="29" t="n"/>
      <c r="K49" s="29" t="n"/>
      <c r="L49" s="29" t="n"/>
      <c r="M49" s="12" t="inlineStr">
        <is>
          <t>Play 3, 10</t>
        </is>
      </c>
      <c r="N49" s="12" t="n"/>
      <c r="O49" s="12" t="n"/>
    </row>
    <row r="50" ht="55.5" customHeight="1" s="1">
      <c r="A50" s="12" t="inlineStr">
        <is>
          <t>MEASURE</t>
        </is>
      </c>
      <c r="B50" s="11" t="inlineStr">
        <is>
          <t>MEASURE 2</t>
        </is>
      </c>
      <c r="C50" s="12" t="n"/>
      <c r="D50" s="12" t="inlineStr">
        <is>
          <t>MEASURE 2.7</t>
        </is>
      </c>
      <c r="E50" s="12" t="inlineStr">
        <is>
          <t>AI system security and resilience, as identified in the MAP function, are evaluated and documented.</t>
        </is>
      </c>
      <c r="F50" s="12" t="inlineStr">
        <is>
          <t>Indep. Validation / InfoSec</t>
        </is>
      </c>
      <c r="G50" s="28" t="inlineStr">
        <is>
          <t>Not started</t>
        </is>
      </c>
      <c r="H50" s="28" t="n"/>
      <c r="I50" s="12" t="n"/>
      <c r="J50" s="12" t="n"/>
      <c r="K50" s="12" t="n"/>
      <c r="L50" s="12" t="n"/>
      <c r="M50" s="12" t="inlineStr">
        <is>
          <t>Play 3, 10</t>
        </is>
      </c>
      <c r="N50" s="12" t="n"/>
      <c r="O50" s="12" t="n"/>
    </row>
    <row r="51" ht="55.5" customHeight="1" s="1">
      <c r="A51" s="29" t="inlineStr">
        <is>
          <t>MEASURE</t>
        </is>
      </c>
      <c r="B51" s="30" t="inlineStr">
        <is>
          <t>MEASURE 2</t>
        </is>
      </c>
      <c r="C51" s="29" t="n"/>
      <c r="D51" s="29" t="inlineStr">
        <is>
          <t>MEASURE 2.8</t>
        </is>
      </c>
      <c r="E51" s="29" t="inlineStr">
        <is>
          <t>Risks associated with transparency and accountability, as identified in the MAP function, are examined and documented.</t>
        </is>
      </c>
      <c r="F51" s="29" t="inlineStr">
        <is>
          <t>Indep. Validation / InfoSec</t>
        </is>
      </c>
      <c r="G51" s="31" t="inlineStr">
        <is>
          <t>Not started</t>
        </is>
      </c>
      <c r="H51" s="31" t="n"/>
      <c r="I51" s="29" t="n"/>
      <c r="J51" s="29" t="n"/>
      <c r="K51" s="29" t="n"/>
      <c r="L51" s="29" t="n"/>
      <c r="M51" s="12" t="inlineStr">
        <is>
          <t>Play 3</t>
        </is>
      </c>
      <c r="N51" s="12" t="n"/>
      <c r="O51" s="12" t="n"/>
    </row>
    <row r="52" ht="55.5" customHeight="1" s="1">
      <c r="A52" s="12" t="inlineStr">
        <is>
          <t>MEASURE</t>
        </is>
      </c>
      <c r="B52" s="11" t="inlineStr">
        <is>
          <t>MEASURE 2</t>
        </is>
      </c>
      <c r="C52" s="12" t="n"/>
      <c r="D52" s="12" t="inlineStr">
        <is>
          <t>MEASURE 2.9</t>
        </is>
      </c>
      <c r="E52" s="12" t="inlineStr">
        <is>
          <t>The AI model is explained, validated and documented, and AI system output is interpreted within its context to inform responsible use and governance.</t>
        </is>
      </c>
      <c r="F52" s="12" t="inlineStr">
        <is>
          <t>Indep. Validation / InfoSec</t>
        </is>
      </c>
      <c r="G52" s="28" t="inlineStr">
        <is>
          <t>Not started</t>
        </is>
      </c>
      <c r="H52" s="28" t="n"/>
      <c r="I52" s="12" t="n"/>
      <c r="J52" s="12" t="n"/>
      <c r="K52" s="12" t="n"/>
      <c r="L52" s="12" t="n"/>
      <c r="M52" s="12" t="inlineStr">
        <is>
          <t>Play 3</t>
        </is>
      </c>
      <c r="N52" s="12" t="n"/>
      <c r="O52" s="12" t="n"/>
    </row>
    <row r="53" ht="55.5" customHeight="1" s="1">
      <c r="A53" s="29" t="inlineStr">
        <is>
          <t>MEASURE</t>
        </is>
      </c>
      <c r="B53" s="30" t="inlineStr">
        <is>
          <t>MEASURE 2</t>
        </is>
      </c>
      <c r="C53" s="29" t="n"/>
      <c r="D53" s="29" t="inlineStr">
        <is>
          <t>MEASURE 2.10</t>
        </is>
      </c>
      <c r="E53" s="29" t="inlineStr">
        <is>
          <t>Privacy risk of the AI system, as identified in the MAP function, is examined and documented.</t>
        </is>
      </c>
      <c r="F53" s="29" t="inlineStr">
        <is>
          <t>Indep. Validation / InfoSec</t>
        </is>
      </c>
      <c r="G53" s="31" t="inlineStr">
        <is>
          <t>Not started</t>
        </is>
      </c>
      <c r="H53" s="31" t="n"/>
      <c r="I53" s="29" t="n"/>
      <c r="J53" s="29" t="n"/>
      <c r="K53" s="29" t="n"/>
      <c r="L53" s="29" t="n"/>
      <c r="M53" s="12" t="inlineStr">
        <is>
          <t>Play 3</t>
        </is>
      </c>
      <c r="N53" s="12" t="n"/>
      <c r="O53" s="12" t="n"/>
    </row>
    <row r="54" ht="55.5" customHeight="1" s="1">
      <c r="A54" s="12" t="inlineStr">
        <is>
          <t>MEASURE</t>
        </is>
      </c>
      <c r="B54" s="11" t="inlineStr">
        <is>
          <t>MEASURE 2</t>
        </is>
      </c>
      <c r="C54" s="12" t="n"/>
      <c r="D54" s="12" t="inlineStr">
        <is>
          <t>MEASURE 2.11</t>
        </is>
      </c>
      <c r="E54" s="12" t="inlineStr">
        <is>
          <t>Fairness and bias, as identified in the MAP function, are evaluated and results are documented.</t>
        </is>
      </c>
      <c r="F54" s="12" t="inlineStr">
        <is>
          <t>Indep. Validation / InfoSec</t>
        </is>
      </c>
      <c r="G54" s="28" t="inlineStr">
        <is>
          <t>Not started</t>
        </is>
      </c>
      <c r="H54" s="28" t="n"/>
      <c r="I54" s="12" t="n"/>
      <c r="J54" s="12" t="n"/>
      <c r="K54" s="12" t="n"/>
      <c r="L54" s="12" t="n"/>
      <c r="M54" s="12" t="inlineStr">
        <is>
          <t>Play 3</t>
        </is>
      </c>
      <c r="N54" s="12" t="n"/>
      <c r="O54" s="12" t="n"/>
    </row>
    <row r="55" ht="55.5" customHeight="1" s="1">
      <c r="A55" s="29" t="inlineStr">
        <is>
          <t>MEASURE</t>
        </is>
      </c>
      <c r="B55" s="30" t="inlineStr">
        <is>
          <t>MEASURE 2</t>
        </is>
      </c>
      <c r="C55" s="29" t="n"/>
      <c r="D55" s="29" t="inlineStr">
        <is>
          <t>MEASURE 2.12</t>
        </is>
      </c>
      <c r="E55" s="29" t="inlineStr">
        <is>
          <t>Environmental impact and sustainability of AI model training and management activities, as identified in the MAP function, are assessed and documented.</t>
        </is>
      </c>
      <c r="F55" s="29" t="inlineStr">
        <is>
          <t>Indep. Validation / InfoSec</t>
        </is>
      </c>
      <c r="G55" s="31" t="inlineStr">
        <is>
          <t>Not started</t>
        </is>
      </c>
      <c r="H55" s="31" t="n"/>
      <c r="I55" s="29" t="n"/>
      <c r="J55" s="29" t="n"/>
      <c r="K55" s="29" t="n"/>
      <c r="L55" s="29" t="n"/>
      <c r="M55" s="12" t="inlineStr">
        <is>
          <t>Play 3</t>
        </is>
      </c>
      <c r="N55" s="12" t="n"/>
      <c r="O55" s="12" t="n"/>
    </row>
    <row r="56" ht="55.5" customHeight="1" s="1">
      <c r="A56" s="12" t="inlineStr">
        <is>
          <t>MEASURE</t>
        </is>
      </c>
      <c r="B56" s="11" t="inlineStr">
        <is>
          <t>MEASURE 2</t>
        </is>
      </c>
      <c r="C56" s="12" t="n"/>
      <c r="D56" s="12" t="inlineStr">
        <is>
          <t>MEASURE 2.13</t>
        </is>
      </c>
      <c r="E56" s="12" t="inlineStr">
        <is>
          <t>Effectiveness of the employed TEVV metrics and processes in the MEASURE function are evaluated and documented.</t>
        </is>
      </c>
      <c r="F56" s="12" t="inlineStr">
        <is>
          <t>Indep. Validation / InfoSec</t>
        </is>
      </c>
      <c r="G56" s="28" t="inlineStr">
        <is>
          <t>Not started</t>
        </is>
      </c>
      <c r="H56" s="28" t="n"/>
      <c r="I56" s="12" t="n"/>
      <c r="J56" s="12" t="n"/>
      <c r="K56" s="12" t="n"/>
      <c r="L56" s="12" t="n"/>
      <c r="M56" s="12" t="inlineStr">
        <is>
          <t>Play 3</t>
        </is>
      </c>
      <c r="N56" s="12" t="n"/>
      <c r="O56" s="12" t="n"/>
    </row>
    <row r="57" ht="55.5" customHeight="1" s="1">
      <c r="A57" s="29" t="inlineStr">
        <is>
          <t>MEASURE</t>
        </is>
      </c>
      <c r="B57" s="30" t="inlineStr">
        <is>
          <t>MEASURE 3</t>
        </is>
      </c>
      <c r="C57" s="29" t="inlineStr">
        <is>
          <t>Mechanisms for tracking identified AI risks over time are in place.</t>
        </is>
      </c>
      <c r="D57" s="29" t="inlineStr">
        <is>
          <t>MEASURE 3.1</t>
        </is>
      </c>
      <c r="E57" s="29" t="inlineStr">
        <is>
          <t>Approaches, personnel and documentation are in place to regularly identify and track existing, unanticipated and emergent AI risks based on factors such as intended and actual performance in deployed contexts.</t>
        </is>
      </c>
      <c r="F57" s="29" t="inlineStr">
        <is>
          <t>Indep. Validation / InfoSec</t>
        </is>
      </c>
      <c r="G57" s="31" t="inlineStr">
        <is>
          <t>Not started</t>
        </is>
      </c>
      <c r="H57" s="31" t="n"/>
      <c r="I57" s="29" t="n"/>
      <c r="J57" s="29" t="n"/>
      <c r="K57" s="29" t="n"/>
      <c r="L57" s="29" t="n"/>
      <c r="M57" s="12" t="inlineStr">
        <is>
          <t>Play 5</t>
        </is>
      </c>
      <c r="N57" s="12" t="n"/>
      <c r="O57" s="12" t="n"/>
    </row>
    <row r="58" ht="55.5" customHeight="1" s="1">
      <c r="A58" s="12" t="inlineStr">
        <is>
          <t>MEASURE</t>
        </is>
      </c>
      <c r="B58" s="11" t="inlineStr">
        <is>
          <t>MEASURE 3</t>
        </is>
      </c>
      <c r="C58" s="12" t="n"/>
      <c r="D58" s="12" t="inlineStr">
        <is>
          <t>MEASURE 3.2</t>
        </is>
      </c>
      <c r="E58" s="12" t="inlineStr">
        <is>
          <t>Risk tracking approaches are considered for settings where AI risks are difficult to assess using currently available measurement techniques or where metrics are not yet available.</t>
        </is>
      </c>
      <c r="F58" s="12" t="inlineStr">
        <is>
          <t>Indep. Validation / InfoSec</t>
        </is>
      </c>
      <c r="G58" s="28" t="inlineStr">
        <is>
          <t>Not started</t>
        </is>
      </c>
      <c r="H58" s="28" t="n"/>
      <c r="I58" s="12" t="n"/>
      <c r="J58" s="12" t="n"/>
      <c r="K58" s="12" t="n"/>
      <c r="L58" s="12" t="n"/>
      <c r="M58" s="12" t="n"/>
      <c r="N58" s="12" t="n"/>
      <c r="O58" s="12" t="n"/>
    </row>
    <row r="59" ht="55.5" customHeight="1" s="1">
      <c r="A59" s="29" t="inlineStr">
        <is>
          <t>MEASURE</t>
        </is>
      </c>
      <c r="B59" s="30" t="inlineStr">
        <is>
          <t>MEASURE 3</t>
        </is>
      </c>
      <c r="C59" s="29" t="n"/>
      <c r="D59" s="29" t="inlineStr">
        <is>
          <t>MEASURE 3.3</t>
        </is>
      </c>
      <c r="E59" s="29" t="inlineStr">
        <is>
          <t>Feedback processes for end users and impacted communities to report problems and appeal system outcomes are established and integrated into AI system evaluation metrics.</t>
        </is>
      </c>
      <c r="F59" s="29" t="inlineStr">
        <is>
          <t>Indep. Validation / InfoSec</t>
        </is>
      </c>
      <c r="G59" s="31" t="inlineStr">
        <is>
          <t>Not started</t>
        </is>
      </c>
      <c r="H59" s="31" t="n"/>
      <c r="I59" s="29" t="n"/>
      <c r="J59" s="29" t="n"/>
      <c r="K59" s="29" t="n"/>
      <c r="L59" s="29" t="n"/>
      <c r="M59" s="12" t="inlineStr">
        <is>
          <t>Play 6, 11</t>
        </is>
      </c>
      <c r="N59" s="12" t="n"/>
      <c r="O59" s="12" t="n"/>
    </row>
    <row r="60" ht="55.5" customHeight="1" s="1">
      <c r="A60" s="12" t="inlineStr">
        <is>
          <t>MEASURE</t>
        </is>
      </c>
      <c r="B60" s="11" t="inlineStr">
        <is>
          <t>MEASURE 4</t>
        </is>
      </c>
      <c r="C60" s="12" t="inlineStr">
        <is>
          <t>Feedback about efficacy of measurement is gathered and assessed.</t>
        </is>
      </c>
      <c r="D60" s="12" t="inlineStr">
        <is>
          <t>MEASURE 4.1</t>
        </is>
      </c>
      <c r="E60" s="12" t="inlineStr">
        <is>
          <t>Measurement approaches for identifying AI risks are connected to deployment context(s) and informed through consultation with domain experts and other end users. Approaches are documented.</t>
        </is>
      </c>
      <c r="F60" s="12" t="inlineStr">
        <is>
          <t>Indep. Validation / InfoSec</t>
        </is>
      </c>
      <c r="G60" s="28" t="inlineStr">
        <is>
          <t>Not started</t>
        </is>
      </c>
      <c r="H60" s="28" t="n"/>
      <c r="I60" s="12" t="n"/>
      <c r="J60" s="12" t="n"/>
      <c r="K60" s="12" t="n"/>
      <c r="L60" s="12" t="n"/>
      <c r="M60" s="12" t="n"/>
      <c r="N60" s="12" t="n"/>
      <c r="O60" s="12" t="n"/>
    </row>
    <row r="61" ht="55.5" customHeight="1" s="1">
      <c r="A61" s="29" t="inlineStr">
        <is>
          <t>MEASURE</t>
        </is>
      </c>
      <c r="B61" s="30" t="inlineStr">
        <is>
          <t>MEASURE 4</t>
        </is>
      </c>
      <c r="C61" s="29" t="n"/>
      <c r="D61" s="29" t="inlineStr">
        <is>
          <t>MEASURE 4.2</t>
        </is>
      </c>
      <c r="E61" s="29"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F61" s="29" t="inlineStr">
        <is>
          <t>Indep. Validation / InfoSec</t>
        </is>
      </c>
      <c r="G61" s="31" t="inlineStr">
        <is>
          <t>Not started</t>
        </is>
      </c>
      <c r="H61" s="31" t="n"/>
      <c r="I61" s="29" t="n"/>
      <c r="J61" s="29" t="n"/>
      <c r="K61" s="29" t="n"/>
      <c r="L61" s="29" t="n"/>
      <c r="M61" s="12" t="n"/>
      <c r="N61" s="12" t="n"/>
      <c r="O61" s="12" t="n"/>
    </row>
    <row r="62" ht="55.5" customHeight="1" s="1">
      <c r="A62" s="12" t="inlineStr">
        <is>
          <t>MEASURE</t>
        </is>
      </c>
      <c r="B62" s="11" t="inlineStr">
        <is>
          <t>MEASURE 4</t>
        </is>
      </c>
      <c r="C62" s="12" t="n"/>
      <c r="D62" s="12" t="inlineStr">
        <is>
          <t>MEASURE 4.3</t>
        </is>
      </c>
      <c r="E62" s="12" t="inlineStr">
        <is>
          <t>Measurable performance improvements or declines based on consultations with relevant AI actors, including affected communities, and field data about context-relevant risks and trustworthiness characteristics are identified and documented.</t>
        </is>
      </c>
      <c r="F62" s="12" t="inlineStr">
        <is>
          <t>Indep. Validation / InfoSec</t>
        </is>
      </c>
      <c r="G62" s="28" t="inlineStr">
        <is>
          <t>Not started</t>
        </is>
      </c>
      <c r="H62" s="28" t="n"/>
      <c r="I62" s="12" t="n"/>
      <c r="J62" s="12" t="n"/>
      <c r="K62" s="12" t="n"/>
      <c r="L62" s="12" t="n"/>
      <c r="M62" s="12" t="n"/>
      <c r="N62" s="12" t="n"/>
      <c r="O62" s="12" t="n"/>
    </row>
    <row r="63" ht="55.5" customHeight="1" s="1">
      <c r="A63" s="29" t="inlineStr">
        <is>
          <t>MANAGE</t>
        </is>
      </c>
      <c r="B63" s="30" t="inlineStr">
        <is>
          <t>MANAGE 1</t>
        </is>
      </c>
      <c r="C63" s="29" t="inlineStr">
        <is>
          <t>AI risks based on assessments and other analytical output from the MAP and MEASURE functions are prioritized, responded to, and managed.</t>
        </is>
      </c>
      <c r="D63" s="29" t="inlineStr">
        <is>
          <t>MANAGE 1.1</t>
        </is>
      </c>
      <c r="E63" s="29" t="inlineStr">
        <is>
          <t>A determination is made as to whether the AI system achieves its intended purposes and stated objectives and whether its development or deployment should proceed.</t>
        </is>
      </c>
      <c r="F63" s="29" t="inlineStr">
        <is>
          <t>Model Owner + AI Risk</t>
        </is>
      </c>
      <c r="G63" s="31" t="inlineStr">
        <is>
          <t>Not started</t>
        </is>
      </c>
      <c r="H63" s="31" t="n"/>
      <c r="I63" s="29" t="n"/>
      <c r="J63" s="29" t="n"/>
      <c r="K63" s="29" t="n"/>
      <c r="L63" s="29" t="n"/>
      <c r="M63" s="12" t="inlineStr">
        <is>
          <t>Play 4, 10</t>
        </is>
      </c>
      <c r="N63" s="12" t="n"/>
      <c r="O63" s="12" t="n"/>
    </row>
    <row r="64" ht="55.5" customHeight="1" s="1">
      <c r="A64" s="12" t="inlineStr">
        <is>
          <t>MANAGE</t>
        </is>
      </c>
      <c r="B64" s="11" t="inlineStr">
        <is>
          <t>MANAGE 1</t>
        </is>
      </c>
      <c r="C64" s="12" t="n"/>
      <c r="D64" s="12" t="inlineStr">
        <is>
          <t>MANAGE 1.2</t>
        </is>
      </c>
      <c r="E64" s="12" t="inlineStr">
        <is>
          <t>Treatment of documented AI risks is prioritized based on impact, likelihood and available resources or methods.</t>
        </is>
      </c>
      <c r="F64" s="12" t="inlineStr">
        <is>
          <t>Model Owner + AI Risk</t>
        </is>
      </c>
      <c r="G64" s="28" t="inlineStr">
        <is>
          <t>Not started</t>
        </is>
      </c>
      <c r="H64" s="28" t="n"/>
      <c r="I64" s="12" t="n"/>
      <c r="J64" s="12" t="n"/>
      <c r="K64" s="12" t="n"/>
      <c r="L64" s="12" t="n"/>
      <c r="M64" s="12" t="inlineStr">
        <is>
          <t>Play 10</t>
        </is>
      </c>
      <c r="N64" s="12" t="n"/>
      <c r="O64" s="12" t="n"/>
    </row>
    <row r="65" ht="55.5" customHeight="1" s="1">
      <c r="A65" s="29" t="inlineStr">
        <is>
          <t>MANAGE</t>
        </is>
      </c>
      <c r="B65" s="30" t="inlineStr">
        <is>
          <t>MANAGE 1</t>
        </is>
      </c>
      <c r="C65" s="29" t="n"/>
      <c r="D65" s="29" t="inlineStr">
        <is>
          <t>MANAGE 1.3</t>
        </is>
      </c>
      <c r="E65" s="29" t="inlineStr">
        <is>
          <t>Responses to the AI risks deemed high priority, as identified by the MAP function, are developed, planned and documented. Risk response options can include mitigating, transferring, avoiding or accepting.</t>
        </is>
      </c>
      <c r="F65" s="29" t="inlineStr">
        <is>
          <t>Model Owner + AI Risk</t>
        </is>
      </c>
      <c r="G65" s="31" t="inlineStr">
        <is>
          <t>Not started</t>
        </is>
      </c>
      <c r="H65" s="31" t="n"/>
      <c r="I65" s="29" t="n"/>
      <c r="J65" s="29" t="n"/>
      <c r="K65" s="29" t="n"/>
      <c r="L65" s="29" t="n"/>
      <c r="M65" s="12" t="inlineStr">
        <is>
          <t>Play 10</t>
        </is>
      </c>
      <c r="N65" s="12" t="n"/>
      <c r="O65" s="12" t="n"/>
    </row>
    <row r="66" ht="55.5" customHeight="1" s="1">
      <c r="A66" s="12" t="inlineStr">
        <is>
          <t>MANAGE</t>
        </is>
      </c>
      <c r="B66" s="11" t="inlineStr">
        <is>
          <t>MANAGE 1</t>
        </is>
      </c>
      <c r="C66" s="12" t="n"/>
      <c r="D66" s="12" t="inlineStr">
        <is>
          <t>MANAGE 1.4</t>
        </is>
      </c>
      <c r="E66" s="12" t="inlineStr">
        <is>
          <t>Negative residual risks (defined as the sum of all unmitigated risks) to both downstream acquirers of AI systems and end users are documented.</t>
        </is>
      </c>
      <c r="F66" s="12" t="inlineStr">
        <is>
          <t>Model Owner + AI Risk</t>
        </is>
      </c>
      <c r="G66" s="28" t="inlineStr">
        <is>
          <t>Not started</t>
        </is>
      </c>
      <c r="H66" s="28" t="n"/>
      <c r="I66" s="12" t="n"/>
      <c r="J66" s="12" t="n"/>
      <c r="K66" s="12" t="n"/>
      <c r="L66" s="12" t="n"/>
      <c r="M66" s="12" t="inlineStr">
        <is>
          <t>Play 10</t>
        </is>
      </c>
      <c r="N66" s="12" t="n"/>
      <c r="O66" s="12" t="n"/>
    </row>
    <row r="67" ht="55.5" customHeight="1" s="1">
      <c r="A67" s="29" t="inlineStr">
        <is>
          <t>MANAGE</t>
        </is>
      </c>
      <c r="B67" s="30" t="inlineStr">
        <is>
          <t>MANAGE 2</t>
        </is>
      </c>
      <c r="C67" s="29" t="inlineStr">
        <is>
          <t>Strategies to maximize AI benefits and minimize negative impacts are planned, prepared, implemented, documented, and informed by input from relevant AI actors.</t>
        </is>
      </c>
      <c r="D67" s="29" t="inlineStr">
        <is>
          <t>MANAGE 2.1</t>
        </is>
      </c>
      <c r="E67" s="29" t="inlineStr">
        <is>
          <t>Resources required to manage AI risks are taken into account, along with viable non-AI alternative systems, approaches or methods, to reduce the magnitude or likelihood of potential impacts.</t>
        </is>
      </c>
      <c r="F67" s="29" t="inlineStr">
        <is>
          <t>Model Owner + AI Risk</t>
        </is>
      </c>
      <c r="G67" s="31" t="inlineStr">
        <is>
          <t>Not started</t>
        </is>
      </c>
      <c r="H67" s="31" t="n"/>
      <c r="I67" s="29" t="n"/>
      <c r="J67" s="29" t="n"/>
      <c r="K67" s="29" t="n"/>
      <c r="L67" s="29" t="n"/>
      <c r="M67" s="12" t="n"/>
      <c r="N67" s="12" t="n"/>
      <c r="O67" s="12" t="n"/>
    </row>
    <row r="68" ht="55.5" customHeight="1" s="1">
      <c r="A68" s="12" t="inlineStr">
        <is>
          <t>MANAGE</t>
        </is>
      </c>
      <c r="B68" s="11" t="inlineStr">
        <is>
          <t>MANAGE 2</t>
        </is>
      </c>
      <c r="C68" s="12" t="n"/>
      <c r="D68" s="12" t="inlineStr">
        <is>
          <t>MANAGE 2.2</t>
        </is>
      </c>
      <c r="E68" s="12" t="inlineStr">
        <is>
          <t>Mechanisms are in place and applied to sustain the value of deployed AI systems.</t>
        </is>
      </c>
      <c r="F68" s="12" t="inlineStr">
        <is>
          <t>Model Owner + AI Risk</t>
        </is>
      </c>
      <c r="G68" s="28" t="inlineStr">
        <is>
          <t>Not started</t>
        </is>
      </c>
      <c r="H68" s="28" t="n"/>
      <c r="I68" s="12" t="n"/>
      <c r="J68" s="12" t="n"/>
      <c r="K68" s="12" t="n"/>
      <c r="L68" s="12" t="n"/>
      <c r="M68" s="12" t="n"/>
      <c r="N68" s="12" t="n"/>
      <c r="O68" s="12" t="n"/>
    </row>
    <row r="69" ht="55.5" customHeight="1" s="1">
      <c r="A69" s="29" t="inlineStr">
        <is>
          <t>MANAGE</t>
        </is>
      </c>
      <c r="B69" s="30" t="inlineStr">
        <is>
          <t>MANAGE 2</t>
        </is>
      </c>
      <c r="C69" s="29" t="n"/>
      <c r="D69" s="29" t="inlineStr">
        <is>
          <t>MANAGE 2.3</t>
        </is>
      </c>
      <c r="E69" s="29" t="inlineStr">
        <is>
          <t>Procedures are followed to respond to and recover from a previously unknown risk when it is identified.</t>
        </is>
      </c>
      <c r="F69" s="29" t="inlineStr">
        <is>
          <t>Model Owner + AI Risk</t>
        </is>
      </c>
      <c r="G69" s="31" t="inlineStr">
        <is>
          <t>Not started</t>
        </is>
      </c>
      <c r="H69" s="31" t="n"/>
      <c r="I69" s="29" t="n"/>
      <c r="J69" s="29" t="n"/>
      <c r="K69" s="29" t="n"/>
      <c r="L69" s="29" t="n"/>
      <c r="M69" s="12" t="inlineStr">
        <is>
          <t>Play 6</t>
        </is>
      </c>
      <c r="N69" s="12" t="n"/>
      <c r="O69" s="12" t="n"/>
    </row>
    <row r="70" ht="55.5" customHeight="1" s="1">
      <c r="A70" s="12" t="inlineStr">
        <is>
          <t>MANAGE</t>
        </is>
      </c>
      <c r="B70" s="11" t="inlineStr">
        <is>
          <t>MANAGE 2</t>
        </is>
      </c>
      <c r="C70" s="12" t="n"/>
      <c r="D70" s="12" t="inlineStr">
        <is>
          <t>MANAGE 2.4</t>
        </is>
      </c>
      <c r="E70" s="12" t="inlineStr">
        <is>
          <t>Mechanisms are in place and applied, and responsibilities are assigned and understood, to supersede, disengage or deactivate AI systems that demonstrate performance or outcomes inconsistent with intended use.</t>
        </is>
      </c>
      <c r="F70" s="12" t="inlineStr">
        <is>
          <t>Model Owner + AI Risk</t>
        </is>
      </c>
      <c r="G70" s="28" t="inlineStr">
        <is>
          <t>Not started</t>
        </is>
      </c>
      <c r="H70" s="28" t="n"/>
      <c r="I70" s="12" t="n"/>
      <c r="J70" s="12" t="n"/>
      <c r="K70" s="12" t="n"/>
      <c r="L70" s="12" t="n"/>
      <c r="M70" s="12" t="inlineStr">
        <is>
          <t>Play 6, 9</t>
        </is>
      </c>
      <c r="N70" s="12" t="n"/>
      <c r="O70" s="12" t="n"/>
    </row>
    <row r="71" ht="55.5" customHeight="1" s="1">
      <c r="A71" s="29" t="inlineStr">
        <is>
          <t>MANAGE</t>
        </is>
      </c>
      <c r="B71" s="30" t="inlineStr">
        <is>
          <t>MANAGE 3</t>
        </is>
      </c>
      <c r="C71" s="29" t="inlineStr">
        <is>
          <t>AI risks and benefits from third-party entities are managed.</t>
        </is>
      </c>
      <c r="D71" s="29" t="inlineStr">
        <is>
          <t>MANAGE 3.1</t>
        </is>
      </c>
      <c r="E71" s="29" t="inlineStr">
        <is>
          <t>AI risks and benefits from third-party resources are regularly monitored, and risk controls are applied and documented.</t>
        </is>
      </c>
      <c r="F71" s="29" t="inlineStr">
        <is>
          <t>Model Owner + AI Risk</t>
        </is>
      </c>
      <c r="G71" s="31" t="inlineStr">
        <is>
          <t>Not started</t>
        </is>
      </c>
      <c r="H71" s="31" t="n"/>
      <c r="I71" s="29" t="n"/>
      <c r="J71" s="29" t="n"/>
      <c r="K71" s="29" t="n"/>
      <c r="L71" s="29" t="n"/>
      <c r="M71" s="12" t="inlineStr">
        <is>
          <t>Play 7</t>
        </is>
      </c>
      <c r="N71" s="12" t="n"/>
      <c r="O71" s="12" t="n"/>
    </row>
    <row r="72" ht="55.5" customHeight="1" s="1">
      <c r="A72" s="12" t="inlineStr">
        <is>
          <t>MANAGE</t>
        </is>
      </c>
      <c r="B72" s="11" t="inlineStr">
        <is>
          <t>MANAGE 3</t>
        </is>
      </c>
      <c r="C72" s="12" t="n"/>
      <c r="D72" s="12" t="inlineStr">
        <is>
          <t>MANAGE 3.2</t>
        </is>
      </c>
      <c r="E72" s="12" t="inlineStr">
        <is>
          <t>Pre-trained models which are used for development are monitored as part of AI system regular monitoring and maintenance.</t>
        </is>
      </c>
      <c r="F72" s="12" t="inlineStr">
        <is>
          <t>Model Owner + AI Risk</t>
        </is>
      </c>
      <c r="G72" s="28" t="inlineStr">
        <is>
          <t>Not started</t>
        </is>
      </c>
      <c r="H72" s="28" t="n"/>
      <c r="I72" s="12" t="n"/>
      <c r="J72" s="12" t="n"/>
      <c r="K72" s="12" t="n"/>
      <c r="L72" s="12" t="n"/>
      <c r="M72" s="12" t="inlineStr">
        <is>
          <t>Play 7</t>
        </is>
      </c>
      <c r="N72" s="12" t="n"/>
      <c r="O72" s="12" t="n"/>
    </row>
    <row r="73" ht="55.5" customHeight="1" s="1">
      <c r="A73" s="29" t="inlineStr">
        <is>
          <t>MANAGE</t>
        </is>
      </c>
      <c r="B73" s="30" t="inlineStr">
        <is>
          <t>MANAGE 4</t>
        </is>
      </c>
      <c r="C73" s="29" t="inlineStr">
        <is>
          <t>Risk treatments, including response and recovery, and communication plans for the identified and measured AI risks are documented and monitored regularly.</t>
        </is>
      </c>
      <c r="D73" s="29" t="inlineStr">
        <is>
          <t>MANAGE 4.1</t>
        </is>
      </c>
      <c r="E73" s="29" t="inlineStr">
        <is>
          <t>Post-deployment AI system monitoring plans are implemented, including mechanisms for capturing and evaluating input from users and other relevant AI actors, appeal and override, decommissioning, incident response, recovery, and change management.</t>
        </is>
      </c>
      <c r="F73" s="29" t="inlineStr">
        <is>
          <t>Model Owner + AI Risk</t>
        </is>
      </c>
      <c r="G73" s="31" t="inlineStr">
        <is>
          <t>Not started</t>
        </is>
      </c>
      <c r="H73" s="31" t="n"/>
      <c r="I73" s="29" t="n"/>
      <c r="J73" s="29" t="n"/>
      <c r="K73" s="29" t="n"/>
      <c r="L73" s="29" t="n"/>
      <c r="M73" s="12" t="inlineStr">
        <is>
          <t>Play 5</t>
        </is>
      </c>
      <c r="N73" s="12" t="n"/>
      <c r="O73" s="12" t="n"/>
    </row>
    <row r="74" ht="55.5" customHeight="1" s="1">
      <c r="A74" s="12" t="inlineStr">
        <is>
          <t>MANAGE</t>
        </is>
      </c>
      <c r="B74" s="11" t="inlineStr">
        <is>
          <t>MANAGE 4</t>
        </is>
      </c>
      <c r="C74" s="12" t="n"/>
      <c r="D74" s="12" t="inlineStr">
        <is>
          <t>MANAGE 4.2</t>
        </is>
      </c>
      <c r="E74" s="12" t="inlineStr">
        <is>
          <t>Measurable activities for continual improvements are integrated into AI system updates and include regular engagement with interested parties, including relevant AI actors.</t>
        </is>
      </c>
      <c r="F74" s="12" t="inlineStr">
        <is>
          <t>Model Owner + AI Risk</t>
        </is>
      </c>
      <c r="G74" s="28" t="inlineStr">
        <is>
          <t>Not started</t>
        </is>
      </c>
      <c r="H74" s="28" t="n"/>
      <c r="I74" s="12" t="n"/>
      <c r="J74" s="12" t="n"/>
      <c r="K74" s="12" t="n"/>
      <c r="L74" s="12" t="n"/>
      <c r="M74" s="12" t="inlineStr">
        <is>
          <t>Play 8</t>
        </is>
      </c>
      <c r="N74" s="12" t="n"/>
      <c r="O74" s="12" t="n"/>
    </row>
    <row r="75" ht="55.5" customHeight="1" s="1">
      <c r="A75" s="29" t="inlineStr">
        <is>
          <t>MANAGE</t>
        </is>
      </c>
      <c r="B75" s="30" t="inlineStr">
        <is>
          <t>MANAGE 4</t>
        </is>
      </c>
      <c r="C75" s="29" t="n"/>
      <c r="D75" s="29" t="inlineStr">
        <is>
          <t>MANAGE 4.3</t>
        </is>
      </c>
      <c r="E75" s="29" t="inlineStr">
        <is>
          <t>Incidents and errors are communicated to relevant AI actors, including affected communities. Processes for tracking, responding to and recovering from incidents and errors are followed and documented.</t>
        </is>
      </c>
      <c r="F75" s="29" t="inlineStr">
        <is>
          <t>Model Owner + AI Risk</t>
        </is>
      </c>
      <c r="G75" s="31" t="inlineStr">
        <is>
          <t>Not started</t>
        </is>
      </c>
      <c r="H75" s="31" t="n"/>
      <c r="I75" s="29" t="n"/>
      <c r="J75" s="29" t="n"/>
      <c r="K75" s="29" t="n"/>
      <c r="L75" s="29" t="n"/>
      <c r="M75" s="12" t="inlineStr">
        <is>
          <t>Play 6</t>
        </is>
      </c>
      <c r="N75" s="12" t="n"/>
      <c r="O75" s="12" t="n"/>
    </row>
  </sheetData>
  <autoFilter ref="A3:O75"/>
  <mergeCells count="1">
    <mergeCell ref="A1:E1"/>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6.xml><?xml version="1.0" encoding="utf-8"?>
<worksheet xmlns="http://schemas.openxmlformats.org/spreadsheetml/2006/main">
  <sheetPr filterMode="0">
    <outlinePr applyStyles="0" summaryBelow="1" summaryRight="1" showOutlineSymbols="1"/>
    <pageSetUpPr autoPageBreaks="1" fitToPage="0"/>
  </sheetPr>
  <dimension ref="A1:R33"/>
  <sheetViews>
    <sheetView showFormulas="0" showGridLines="0" showRowColHeaders="1" showZeros="1" rightToLeft="0" view="normal" topLeftCell="A1" zoomScale="100" workbookViewId="0">
      <pane ySplit="3" topLeftCell="A4" activePane="bottomLeft" state="frozen"/>
      <selection activeCell="G1" activeCellId="0" sqref="G1"/>
    </sheetView>
  </sheetViews>
  <sheetFormatPr baseColWidth="8" defaultColWidth="8.6796875" defaultRowHeight="14.25"/>
  <cols>
    <col width="24" customWidth="1" style="1" min="1" max="1"/>
    <col width="8" customWidth="1" style="1" min="2" max="2"/>
    <col width="40" customWidth="1" style="1" min="3" max="3"/>
    <col width="22" customWidth="1" style="1" min="4" max="5"/>
    <col width="32" customWidth="1" style="1" min="6" max="6"/>
    <col width="24" customWidth="1" style="1" min="7" max="7"/>
    <col width="18" customWidth="1" style="1" min="8" max="8"/>
    <col width="14.14" customWidth="1" style="1" min="9" max="9"/>
    <col width="26" customWidth="1" style="1" min="10" max="10"/>
    <col width="13" customWidth="1" style="1" min="11" max="12"/>
    <col width="30" customWidth="1" style="1" min="13" max="13"/>
    <col width="16" customWidth="1" style="1" min="14" max="14"/>
    <col width="16.00390625" customWidth="1" style="1" min="15" max="15"/>
    <col width="24" customWidth="1" style="1" min="16" max="16"/>
    <col width="30" customWidth="1" style="1" min="17" max="17"/>
    <col width="26" customWidth="1" style="1" min="18" max="18"/>
  </cols>
  <sheetData>
    <row r="1" ht="15.75" customHeight="1" s="1">
      <c r="A1" s="9" t="inlineStr">
        <is>
          <t>Control Library - MAS — Control Tracker</t>
        </is>
      </c>
    </row>
    <row r="3" ht="38.25" customHeight="1" s="1">
      <c r="A3" s="33" t="inlineStr">
        <is>
          <t>MAS Pillar</t>
        </is>
      </c>
      <c r="B3" s="33" t="inlineStr">
        <is>
          <t>MAS ref</t>
        </is>
      </c>
      <c r="C3" s="33" t="inlineStr">
        <is>
          <t>MAS expectation area</t>
        </is>
      </c>
      <c r="D3" s="33" t="inlineStr">
        <is>
          <t>Primary MAS source</t>
        </is>
      </c>
      <c r="E3" s="33" t="inlineStr">
        <is>
          <t>ISO 42001</t>
        </is>
      </c>
      <c r="F3" s="33" t="inlineStr">
        <is>
          <t>NIST AI RMF</t>
        </is>
      </c>
      <c r="G3" s="33" t="inlineStr">
        <is>
          <t>Owner (role)</t>
        </is>
      </c>
      <c r="H3" s="33" t="inlineStr">
        <is>
          <t>Status</t>
        </is>
      </c>
      <c r="I3" s="33" t="inlineStr">
        <is>
          <t>Maturity (1-5)</t>
        </is>
      </c>
      <c r="J3" s="33" t="inlineStr">
        <is>
          <t>Evidence / artifact</t>
        </is>
      </c>
      <c r="K3" s="33" t="inlineStr">
        <is>
          <t>Last reviewed</t>
        </is>
      </c>
      <c r="L3" s="33" t="inlineStr">
        <is>
          <t>Next review</t>
        </is>
      </c>
      <c r="M3" s="33" t="inlineStr">
        <is>
          <t>Gap / notes</t>
        </is>
      </c>
      <c r="N3" s="33" t="inlineStr">
        <is>
          <t>Linked play</t>
        </is>
      </c>
      <c r="O3" s="33" t="inlineStr">
        <is>
          <t>Linked agentic controls (MGF | SAFR)</t>
        </is>
      </c>
      <c r="P3" s="33" t="inlineStr">
        <is>
          <t>Test of Design</t>
        </is>
      </c>
      <c r="Q3" s="33" t="inlineStr">
        <is>
          <t>Test of Operating Effectiveness</t>
        </is>
      </c>
      <c r="R3" s="33" t="inlineStr">
        <is>
          <t>Linked CSA PA</t>
        </is>
      </c>
    </row>
    <row r="4" ht="55.5" customHeight="1" s="1">
      <c r="A4" s="12" t="inlineStr">
        <is>
          <t>1. AI Oversight &amp; Governance</t>
        </is>
      </c>
      <c r="B4" s="11" t="inlineStr">
        <is>
          <t>M1.1</t>
        </is>
      </c>
      <c r="C4" s="12" t="inlineStr">
        <is>
          <t>Board &amp; senior management accountability for AI risk (risk appetite, framework approval)</t>
        </is>
      </c>
      <c r="D4" s="12" t="inlineStr">
        <is>
          <t>AIRG Consultation Paper P017-2025 (Nov 2025, proposed); AI MRM Paper (Dec 2024)</t>
        </is>
      </c>
      <c r="E4" s="12" t="inlineStr">
        <is>
          <t>A.2.2; A.3.2</t>
        </is>
      </c>
      <c r="F4" s="12" t="inlineStr">
        <is>
          <t>GOVERN 1.1; GOVERN 2.3</t>
        </is>
      </c>
      <c r="G4" s="12" t="inlineStr">
        <is>
          <t>AI Risk Cttee / Senior Mgmt</t>
        </is>
      </c>
      <c r="H4" s="28" t="inlineStr">
        <is>
          <t>Not started</t>
        </is>
      </c>
      <c r="I4" s="28" t="n"/>
      <c r="J4" s="12" t="inlineStr">
        <is>
          <t>Board mandate; approved framework</t>
        </is>
      </c>
      <c r="K4" s="12" t="n"/>
      <c r="L4" s="12" t="n"/>
      <c r="M4" s="12" t="n"/>
      <c r="N4" s="12" t="n"/>
      <c r="O4" s="12" t="inlineStr">
        <is>
          <t>MGF D2.1 | SAFR S1.2</t>
        </is>
      </c>
      <c r="P4" s="12" t="n"/>
      <c r="Q4" s="12" t="n"/>
      <c r="R4" s="12" t="inlineStr">
        <is>
          <t>PA 2, PA 6</t>
        </is>
      </c>
    </row>
    <row r="5" ht="55.5" customHeight="1" s="1">
      <c r="A5" s="29" t="inlineStr">
        <is>
          <t>1. AI Oversight &amp; Governance</t>
        </is>
      </c>
      <c r="B5" s="30" t="inlineStr">
        <is>
          <t>M1.2</t>
        </is>
      </c>
      <c r="C5" s="29" t="inlineStr">
        <is>
          <t>AI policies &amp; guiding principles (fair, ethical, accountable, transparent use)</t>
        </is>
      </c>
      <c r="D5" s="29" t="inlineStr">
        <is>
          <t>FEAT (2018); AIRG Consultation Paper P017-2025 (Nov 2025, proposed)</t>
        </is>
      </c>
      <c r="E5" s="29" t="inlineStr">
        <is>
          <t>A.2.2; A.2.3; A.2.4</t>
        </is>
      </c>
      <c r="F5" s="29" t="inlineStr">
        <is>
          <t>GOVERN 1.2; GOVERN 1.4; GOVERN 4.1</t>
        </is>
      </c>
      <c r="G5" s="29" t="inlineStr">
        <is>
          <t>AI Risk Cttee / Senior Mgmt</t>
        </is>
      </c>
      <c r="H5" s="31" t="inlineStr">
        <is>
          <t>Not started</t>
        </is>
      </c>
      <c r="I5" s="31" t="n"/>
      <c r="J5" s="29" t="inlineStr">
        <is>
          <t>AI use policy</t>
        </is>
      </c>
      <c r="K5" s="29" t="n"/>
      <c r="L5" s="29" t="n"/>
      <c r="M5" s="29" t="inlineStr">
        <is>
          <t>carry the FEAT/fairness control mappings that feed those principles.</t>
        </is>
      </c>
      <c r="N5" s="12" t="n"/>
      <c r="O5" s="12" t="n"/>
      <c r="P5" s="12" t="n"/>
      <c r="Q5" s="12" t="n"/>
      <c r="R5" s="12" t="inlineStr">
        <is>
          <t>PA 2</t>
        </is>
      </c>
    </row>
    <row r="6" ht="55.5" customHeight="1" s="1">
      <c r="A6" s="12" t="inlineStr">
        <is>
          <t>1. AI Oversight &amp; Governance</t>
        </is>
      </c>
      <c r="B6" s="11" t="inlineStr">
        <is>
          <t>M1.3</t>
        </is>
      </c>
      <c r="C6" s="12" t="inlineStr">
        <is>
          <t>Cross-functional AI oversight forum / AI risk committee</t>
        </is>
      </c>
      <c r="D6" s="12" t="inlineStr">
        <is>
          <t>AI MRM Paper (Dec 2024); AIRG Consultation Paper P017-2025 (Nov 2025, proposed)</t>
        </is>
      </c>
      <c r="E6" s="12" t="inlineStr">
        <is>
          <t>A.3.2</t>
        </is>
      </c>
      <c r="F6" s="12" t="inlineStr">
        <is>
          <t>GOVERN 2.1; GOVERN 4.3</t>
        </is>
      </c>
      <c r="G6" s="12" t="inlineStr">
        <is>
          <t>AI Risk Cttee / Senior Mgmt</t>
        </is>
      </c>
      <c r="H6" s="28" t="inlineStr">
        <is>
          <t>Not started</t>
        </is>
      </c>
      <c r="I6" s="28" t="n"/>
      <c r="J6" s="12" t="inlineStr">
        <is>
          <t>Committee terms of reference; minutes</t>
        </is>
      </c>
      <c r="K6" s="12" t="n"/>
      <c r="L6" s="12" t="n"/>
      <c r="M6" s="12" t="n"/>
      <c r="N6" s="12" t="n"/>
      <c r="O6" s="12" t="n"/>
      <c r="P6" s="12" t="n"/>
      <c r="Q6" s="12" t="n"/>
      <c r="R6" s="12" t="inlineStr">
        <is>
          <t>PA 4</t>
        </is>
      </c>
    </row>
    <row r="7" ht="55.5" customHeight="1" s="1">
      <c r="A7" s="29" t="inlineStr">
        <is>
          <t>1. AI Oversight &amp; Governance</t>
        </is>
      </c>
      <c r="B7" s="30" t="inlineStr">
        <is>
          <t>M1.4</t>
        </is>
      </c>
      <c r="C7" s="29" t="inlineStr">
        <is>
          <t>AI risk appetite &amp; risk tolerance setting</t>
        </is>
      </c>
      <c r="D7" s="29" t="inlineStr">
        <is>
          <t>AIRG Consultation Paper P017-2025 (Nov 2025, proposed)</t>
        </is>
      </c>
      <c r="E7" s="29" t="inlineStr">
        <is>
          <t>A.5.2</t>
        </is>
      </c>
      <c r="F7" s="29" t="inlineStr">
        <is>
          <t>GOVERN 1.3; MAP 1.5</t>
        </is>
      </c>
      <c r="G7" s="29" t="inlineStr">
        <is>
          <t>AI Risk Cttee / Senior Mgmt</t>
        </is>
      </c>
      <c r="H7" s="31" t="inlineStr">
        <is>
          <t>Not started</t>
        </is>
      </c>
      <c r="I7" s="31" t="n"/>
      <c r="J7" s="29" t="inlineStr">
        <is>
          <t>AI risk appetite statement</t>
        </is>
      </c>
      <c r="K7" s="29" t="n"/>
      <c r="L7" s="29" t="n"/>
      <c r="M7" s="29" t="n"/>
      <c r="N7" s="12" t="n"/>
      <c r="O7" s="12" t="n"/>
      <c r="P7" s="12" t="n"/>
      <c r="Q7" s="12" t="n"/>
      <c r="R7" s="12" t="inlineStr">
        <is>
          <t>PA 4</t>
        </is>
      </c>
    </row>
    <row r="8" ht="55.5" customHeight="1" s="1">
      <c r="A8" s="12" t="inlineStr">
        <is>
          <t>1. AI Oversight &amp; Governance</t>
        </is>
      </c>
      <c r="B8" s="11" t="inlineStr">
        <is>
          <t>M1.5</t>
        </is>
      </c>
      <c r="C8" s="12" t="inlineStr">
        <is>
          <t>AI literacy, culture &amp; training across the organisation</t>
        </is>
      </c>
      <c r="D8" s="12" t="inlineStr">
        <is>
          <t>AIRG Consultation Paper P017-2025 (Nov 2025, proposed); AI MRM Paper (Dec 2024)</t>
        </is>
      </c>
      <c r="E8" s="12" t="inlineStr">
        <is>
          <t>A.3.3; A.4.6</t>
        </is>
      </c>
      <c r="F8" s="12" t="inlineStr">
        <is>
          <t>GOVERN 2.2; GOVERN 4.1</t>
        </is>
      </c>
      <c r="G8" s="12" t="inlineStr">
        <is>
          <t>AI Risk Cttee / Senior Mgmt</t>
        </is>
      </c>
      <c r="H8" s="28" t="inlineStr">
        <is>
          <t>Not started</t>
        </is>
      </c>
      <c r="I8" s="28" t="n"/>
      <c r="J8" s="12" t="inlineStr">
        <is>
          <t>Training plan &amp; records</t>
        </is>
      </c>
      <c r="K8" s="12" t="n"/>
      <c r="L8" s="12" t="n"/>
      <c r="M8" s="12" t="n"/>
      <c r="N8" s="12" t="inlineStr">
        <is>
          <t>Play 11</t>
        </is>
      </c>
      <c r="O8" s="12" t="inlineStr">
        <is>
          <t>MGF D4.3, D4.4</t>
        </is>
      </c>
      <c r="P8" s="12" t="n"/>
      <c r="Q8" s="12" t="n"/>
      <c r="R8" s="12" t="inlineStr">
        <is>
          <t>PA 2</t>
        </is>
      </c>
    </row>
    <row r="9" ht="55.5" customHeight="1" s="1">
      <c r="A9" s="29" t="inlineStr">
        <is>
          <t>2. AI Risk Mgmt Systems &amp; Processes</t>
        </is>
      </c>
      <c r="B9" s="30" t="inlineStr">
        <is>
          <t>M2.1</t>
        </is>
      </c>
      <c r="C9" s="29" t="inlineStr">
        <is>
          <t>Consistent identification of where AI is used</t>
        </is>
      </c>
      <c r="D9" s="29" t="inlineStr">
        <is>
          <t>AI MRM Paper (Dec 2024); AIRG Consultation Paper P017-2025 (Nov 2025, proposed)</t>
        </is>
      </c>
      <c r="E9" s="29" t="inlineStr">
        <is>
          <t>A.4.2</t>
        </is>
      </c>
      <c r="F9" s="29" t="inlineStr">
        <is>
          <t>GOVERN 1.6; MAP 1.1</t>
        </is>
      </c>
      <c r="G9" s="29" t="inlineStr">
        <is>
          <t>AI Risk (2nd line)</t>
        </is>
      </c>
      <c r="H9" s="31" t="inlineStr">
        <is>
          <t>Not started</t>
        </is>
      </c>
      <c r="I9" s="31" t="n"/>
      <c r="J9" s="29" t="inlineStr">
        <is>
          <t>AI identification procedure</t>
        </is>
      </c>
      <c r="K9" s="29" t="n"/>
      <c r="L9" s="29" t="n"/>
      <c r="M9" s="29" t="n"/>
      <c r="N9" s="12" t="inlineStr">
        <is>
          <t>Play 1</t>
        </is>
      </c>
      <c r="O9" s="12" t="n"/>
      <c r="P9" s="12" t="n"/>
      <c r="Q9" s="12" t="n"/>
      <c r="R9" s="12" t="inlineStr">
        <is>
          <t>PA 2, PA 7</t>
        </is>
      </c>
    </row>
    <row r="10" ht="55.5" customHeight="1" s="1">
      <c r="A10" s="12" t="inlineStr">
        <is>
          <t>2. AI Risk Mgmt Systems &amp; Processes</t>
        </is>
      </c>
      <c r="B10" s="11" t="inlineStr">
        <is>
          <t>M2.2</t>
        </is>
      </c>
      <c r="C10" s="12" t="inlineStr">
        <is>
          <t>AI inventory — central register of models / use-cases / dependencies</t>
        </is>
      </c>
      <c r="D10" s="12" t="inlineStr">
        <is>
          <t>AI MRM Paper (Dec 2024); AIRG Consultation Paper P017-2025 (Nov 2025, proposed)</t>
        </is>
      </c>
      <c r="E10" s="12" t="inlineStr">
        <is>
          <t>A.4.2; A.4.3; A.4.4; A.4.5</t>
        </is>
      </c>
      <c r="F10" s="12" t="inlineStr">
        <is>
          <t>GOVERN 1.6</t>
        </is>
      </c>
      <c r="G10" s="12" t="inlineStr">
        <is>
          <t>AI Risk (2nd line)</t>
        </is>
      </c>
      <c r="H10" s="28" t="inlineStr">
        <is>
          <t>Not evidenced</t>
        </is>
      </c>
      <c r="I10" s="28" t="n">
        <v>1</v>
      </c>
      <c r="J10" s="12" t="inlineStr">
        <is>
          <t>[sample_evidence.md]
# Sample evidence pack — Meridian Capital Pte Ltd (fictional)
Paste each block into the Evidence box for the named control. Expected ratings are what a careful 2LoD reviewer would give; compare against what the model proposes.
---
## 1. SAFR S1.1 — Agent identity &amp; registration
### 1a. Policy only — expect PARTIAL
Meridian AI Acceptable Use Policy v2.1, section 4.3 (approved by the AI Risk Committee, 14 March 2026): "All AI agents, including autonomous and semi-autonomo</t>
        </is>
      </c>
      <c r="K10" s="86" t="n">
        <v>46271</v>
      </c>
      <c r="L10" s="12" t="n"/>
      <c r="M10" s="12" t="inlineStr">
        <is>
          <t>inventory record showing AGT-0142 is registered | Accepted by Unnamed reviewer</t>
        </is>
      </c>
      <c r="N10" s="12" t="inlineStr">
        <is>
          <t>Play 1</t>
        </is>
      </c>
      <c r="O10" s="12" t="n"/>
      <c r="P10" s="12" t="n"/>
      <c r="Q10" s="12" t="n"/>
      <c r="R10" s="12" t="inlineStr">
        <is>
          <t>PA 2, PA 7</t>
        </is>
      </c>
    </row>
    <row r="11" ht="55.5" customHeight="1" s="1">
      <c r="A11" s="29" t="inlineStr">
        <is>
          <t>2. AI Risk Mgmt Systems &amp; Processes</t>
        </is>
      </c>
      <c r="B11" s="30" t="inlineStr">
        <is>
          <t>M2.3</t>
        </is>
      </c>
      <c r="C11" s="29" t="inlineStr">
        <is>
          <t>Risk materiality assessment (impact, complexity, reliance; inherent &amp; residual)</t>
        </is>
      </c>
      <c r="D11" s="29" t="inlineStr">
        <is>
          <t>AI MRM Paper (Dec 2024); AIRG Consultation Paper P017-2025 (Nov 2025, proposed)</t>
        </is>
      </c>
      <c r="E11" s="29" t="inlineStr">
        <is>
          <t>A.5.2; A.5.3; A.5.4; A.5.5</t>
        </is>
      </c>
      <c r="F11" s="29" t="inlineStr">
        <is>
          <t>MAP 2.2; MAP 3.2; MAP 5.1; MEASURE 1.1</t>
        </is>
      </c>
      <c r="G11" s="29" t="inlineStr">
        <is>
          <t>AI Risk (2nd line)</t>
        </is>
      </c>
      <c r="H11" s="31" t="inlineStr">
        <is>
          <t>Not started</t>
        </is>
      </c>
      <c r="I11" s="31" t="n"/>
      <c r="J11" s="29" t="inlineStr">
        <is>
          <t>Risk materiality assessment record</t>
        </is>
      </c>
      <c r="K11" s="29" t="n"/>
      <c r="L11" s="29" t="n"/>
      <c r="M11" s="29" t="n"/>
      <c r="N11" s="12" t="inlineStr">
        <is>
          <t>Play 1, 2, 8</t>
        </is>
      </c>
      <c r="O11" s="12" t="inlineStr">
        <is>
          <t>MGF D1.1, D1.2 | SAFR S1.5</t>
        </is>
      </c>
      <c r="P11" s="12" t="n"/>
      <c r="Q11" s="12" t="n"/>
      <c r="R11" s="12" t="inlineStr">
        <is>
          <t>PA 6</t>
        </is>
      </c>
    </row>
    <row r="12" ht="55.5" customHeight="1" s="1">
      <c r="A12" s="12" t="inlineStr">
        <is>
          <t>2. AI Risk Mgmt Systems &amp; Processes</t>
        </is>
      </c>
      <c r="B12" s="11" t="inlineStr">
        <is>
          <t>M2.4</t>
        </is>
      </c>
      <c r="C12" s="12" t="inlineStr">
        <is>
          <t>AI risk identification &amp; assessment across the lifecycle</t>
        </is>
      </c>
      <c r="D12" s="12" t="inlineStr">
        <is>
          <t>AIRG Consultation Paper P017-2025 (Nov 2025, proposed)</t>
        </is>
      </c>
      <c r="E12" s="12" t="inlineStr">
        <is>
          <t>A.5.2; A.5.3</t>
        </is>
      </c>
      <c r="F12" s="12" t="inlineStr">
        <is>
          <t>MAP 4.1; MAP 5.1; MANAGE 1.1; MANAGE 1.2</t>
        </is>
      </c>
      <c r="G12" s="12" t="inlineStr">
        <is>
          <t>AI Risk (2nd line)</t>
        </is>
      </c>
      <c r="H12" s="28" t="inlineStr">
        <is>
          <t>Not started</t>
        </is>
      </c>
      <c r="I12" s="28" t="n"/>
      <c r="J12" s="12" t="inlineStr">
        <is>
          <t>Lifecycle risk register</t>
        </is>
      </c>
      <c r="K12" s="12" t="n"/>
      <c r="L12" s="12" t="n"/>
      <c r="M12" s="12" t="n"/>
      <c r="N12" s="12" t="inlineStr">
        <is>
          <t>Play 2</t>
        </is>
      </c>
      <c r="O12" s="12" t="n"/>
      <c r="P12" s="12" t="n"/>
      <c r="Q12" s="12" t="n"/>
      <c r="R12" s="12" t="inlineStr">
        <is>
          <t>PA 6</t>
        </is>
      </c>
    </row>
    <row r="13" ht="55.5" customHeight="1" s="1">
      <c r="A13" s="29" t="inlineStr">
        <is>
          <t>3. AI Lifecycle Controls</t>
        </is>
      </c>
      <c r="B13" s="30" t="inlineStr">
        <is>
          <t>M3.1</t>
        </is>
      </c>
      <c r="C13" s="29" t="inlineStr">
        <is>
          <t>Data management, quality, representativeness &amp; provenance</t>
        </is>
      </c>
      <c r="D13" s="29" t="inlineStr">
        <is>
          <t>AI MRM Paper (Dec 2024); AIRG Consultation Paper P017-2025 (Nov 2025, proposed)</t>
        </is>
      </c>
      <c r="E13" s="29" t="inlineStr">
        <is>
          <t>A.7.2; A.7.3; A.7.4; A.7.5; A.7.6</t>
        </is>
      </c>
      <c r="F13" s="29" t="inlineStr">
        <is>
          <t>MAP 2.3; MEASURE 2.1</t>
        </is>
      </c>
      <c r="G13" s="29" t="inlineStr">
        <is>
          <t>Model Owner + InfoSec</t>
        </is>
      </c>
      <c r="H13" s="31" t="inlineStr">
        <is>
          <t>Not started</t>
        </is>
      </c>
      <c r="I13" s="31" t="n"/>
      <c r="J13" s="29" t="inlineStr">
        <is>
          <t>Data lineage &amp; quality records</t>
        </is>
      </c>
      <c r="K13" s="29" t="n"/>
      <c r="L13" s="29" t="n"/>
      <c r="M13" s="29" t="n"/>
      <c r="N13" s="12" t="inlineStr">
        <is>
          <t>Play 3</t>
        </is>
      </c>
      <c r="O13" s="12" t="n"/>
      <c r="P13" s="12" t="n"/>
      <c r="Q13" s="12" t="n"/>
      <c r="R13" s="12" t="inlineStr">
        <is>
          <t>—</t>
        </is>
      </c>
    </row>
    <row r="14" ht="55.5" customHeight="1" s="1">
      <c r="A14" s="12" t="inlineStr">
        <is>
          <t>3. AI Lifecycle Controls</t>
        </is>
      </c>
      <c r="B14" s="11" t="inlineStr">
        <is>
          <t>M3.2</t>
        </is>
      </c>
      <c r="C14" s="12" t="inlineStr">
        <is>
          <t>Fairness &amp; bias mitigation</t>
        </is>
      </c>
      <c r="D14" s="12" t="inlineStr">
        <is>
          <t>FEAT (2018); AIRG Consultation Paper P017-2025 (Nov 2025, proposed)</t>
        </is>
      </c>
      <c r="E14" s="12" t="inlineStr">
        <is>
          <t>A.5.4; A.7.4</t>
        </is>
      </c>
      <c r="F14" s="12" t="inlineStr">
        <is>
          <t>MEASURE 2.11</t>
        </is>
      </c>
      <c r="G14" s="12" t="inlineStr">
        <is>
          <t>Model Owner + InfoSec</t>
        </is>
      </c>
      <c r="H14" s="28" t="inlineStr">
        <is>
          <t>Not started</t>
        </is>
      </c>
      <c r="I14" s="28" t="n"/>
      <c r="J14" s="12" t="inlineStr">
        <is>
          <t>Fairness assessment</t>
        </is>
      </c>
      <c r="K14" s="12" t="n"/>
      <c r="L14" s="12" t="n"/>
      <c r="M14" s="29" t="inlineStr">
        <is>
          <t>carry the FEAT/fairness control mappings that feed those principles.</t>
        </is>
      </c>
      <c r="N14" s="12" t="inlineStr">
        <is>
          <t>Play 2</t>
        </is>
      </c>
      <c r="O14" s="12" t="n"/>
      <c r="P14" s="12" t="n"/>
      <c r="Q14" s="12" t="n"/>
      <c r="R14" s="12" t="inlineStr">
        <is>
          <t>—</t>
        </is>
      </c>
    </row>
    <row r="15" ht="55.5" customHeight="1" s="1">
      <c r="A15" s="29" t="inlineStr">
        <is>
          <t>3. AI Lifecycle Controls</t>
        </is>
      </c>
      <c r="B15" s="30" t="inlineStr">
        <is>
          <t>M3.3</t>
        </is>
      </c>
      <c r="C15" s="29" t="inlineStr">
        <is>
          <t>Transparency &amp; explainability of AI outputs</t>
        </is>
      </c>
      <c r="D15" s="29" t="inlineStr">
        <is>
          <t>FEAT (2018); AIRG Consultation Paper P017-2025 (Nov 2025, proposed)</t>
        </is>
      </c>
      <c r="E15" s="29" t="inlineStr">
        <is>
          <t>A.6.2.7; A.8.2</t>
        </is>
      </c>
      <c r="F15" s="29" t="inlineStr">
        <is>
          <t>MAP 2.2; MEASURE 2.8; MEASURE 2.9</t>
        </is>
      </c>
      <c r="G15" s="29" t="inlineStr">
        <is>
          <t>Model Owner + InfoSec</t>
        </is>
      </c>
      <c r="H15" s="31" t="inlineStr">
        <is>
          <t>Not started</t>
        </is>
      </c>
      <c r="I15" s="31" t="n"/>
      <c r="J15" s="29" t="inlineStr">
        <is>
          <t>Model Cards; explainability notes</t>
        </is>
      </c>
      <c r="K15" s="29" t="n"/>
      <c r="L15" s="29" t="n"/>
      <c r="M15" s="29" t="inlineStr">
        <is>
          <t>carry the FEAT/fairness control mappings that feed those principles.</t>
        </is>
      </c>
      <c r="N15" s="12" t="inlineStr">
        <is>
          <t>Play 3</t>
        </is>
      </c>
      <c r="O15" s="12" t="inlineStr">
        <is>
          <t>MGF D2.7, D4.1, D4.2 | SAFR S3.2</t>
        </is>
      </c>
      <c r="P15" s="12" t="n"/>
      <c r="Q15" s="12" t="n"/>
      <c r="R15" s="12" t="inlineStr">
        <is>
          <t>—</t>
        </is>
      </c>
    </row>
    <row r="16" ht="55.5" customHeight="1" s="1">
      <c r="A16" s="12" t="inlineStr">
        <is>
          <t>3. AI Lifecycle Controls</t>
        </is>
      </c>
      <c r="B16" s="11" t="inlineStr">
        <is>
          <t>M3.4</t>
        </is>
      </c>
      <c r="C16" s="12" t="inlineStr">
        <is>
          <t>Human oversight &amp; intervention</t>
        </is>
      </c>
      <c r="D16" s="12" t="inlineStr">
        <is>
          <t>AIRG Consultation Paper P017-2025 (Nov 2025, proposed)</t>
        </is>
      </c>
      <c r="E16" s="12" t="inlineStr">
        <is>
          <t>A.9.2; A.9.3; A.9.4</t>
        </is>
      </c>
      <c r="F16" s="12" t="inlineStr">
        <is>
          <t>GOVERN 3.2; MAP 3.5</t>
        </is>
      </c>
      <c r="G16" s="12" t="inlineStr">
        <is>
          <t>Model Owner + InfoSec</t>
        </is>
      </c>
      <c r="H16" s="28" t="inlineStr">
        <is>
          <t>Not started</t>
        </is>
      </c>
      <c r="I16" s="28" t="n"/>
      <c r="J16" s="12" t="inlineStr">
        <is>
          <t>Human oversight policy</t>
        </is>
      </c>
      <c r="K16" s="12" t="n"/>
      <c r="L16" s="12" t="n"/>
      <c r="M16" s="12" t="n"/>
      <c r="N16" s="12" t="inlineStr">
        <is>
          <t>Play 4</t>
        </is>
      </c>
      <c r="O16" s="12" t="inlineStr">
        <is>
          <t>MGF D2.3, D2.4, D2.6 | SAFR S2.3</t>
        </is>
      </c>
      <c r="P16" s="12" t="n"/>
      <c r="Q16" s="12" t="n"/>
      <c r="R16" s="12" t="inlineStr">
        <is>
          <t>—</t>
        </is>
      </c>
    </row>
    <row r="17" ht="55.5" customHeight="1" s="1">
      <c r="A17" s="29" t="inlineStr">
        <is>
          <t>3. AI Lifecycle Controls</t>
        </is>
      </c>
      <c r="B17" s="30" t="inlineStr">
        <is>
          <t>M3.5</t>
        </is>
      </c>
      <c r="C17" s="29" t="inlineStr">
        <is>
          <t>Model &amp; feature selection</t>
        </is>
      </c>
      <c r="D17" s="29" t="inlineStr">
        <is>
          <t>AI MRM Paper (Dec 2024); AIRG Consultation Paper P017-2025 (Nov 2025, proposed)</t>
        </is>
      </c>
      <c r="E17" s="29" t="inlineStr">
        <is>
          <t>A.4.4; A.6.2.2; A.6.2.3</t>
        </is>
      </c>
      <c r="F17" s="29" t="inlineStr">
        <is>
          <t>MAP 2.1; MAP 3.3</t>
        </is>
      </c>
      <c r="G17" s="29" t="inlineStr">
        <is>
          <t>Model Owner + InfoSec</t>
        </is>
      </c>
      <c r="H17" s="31" t="inlineStr">
        <is>
          <t>Not started</t>
        </is>
      </c>
      <c r="I17" s="31" t="n"/>
      <c r="J17" s="29" t="inlineStr">
        <is>
          <t>Model selection rationale</t>
        </is>
      </c>
      <c r="K17" s="29" t="n"/>
      <c r="L17" s="29" t="n"/>
      <c r="M17" s="29" t="inlineStr">
        <is>
          <t>carry the FEAT/fairness control mappings that feed those principles.</t>
        </is>
      </c>
      <c r="N17" s="12" t="inlineStr">
        <is>
          <t>Play 3</t>
        </is>
      </c>
      <c r="O17" s="12" t="inlineStr">
        <is>
          <t>MGF D1.3, D1.4 | SAFR S4.1</t>
        </is>
      </c>
      <c r="P17" s="12" t="n"/>
      <c r="Q17" s="12" t="n"/>
      <c r="R17" s="12" t="inlineStr">
        <is>
          <t>—</t>
        </is>
      </c>
    </row>
    <row r="18" ht="55.5" customHeight="1" s="1">
      <c r="A18" s="12" t="inlineStr">
        <is>
          <t>3. AI Lifecycle Controls</t>
        </is>
      </c>
      <c r="B18" s="11" t="inlineStr">
        <is>
          <t>M3.6</t>
        </is>
      </c>
      <c r="C18" s="12" t="inlineStr">
        <is>
          <t>Evaluation, testing &amp; independent validation</t>
        </is>
      </c>
      <c r="D18" s="12" t="inlineStr">
        <is>
          <t>AI MRM Paper (Dec 2024); AIRG Consultation Paper P017-2025 (Nov 2025, proposed)</t>
        </is>
      </c>
      <c r="E18" s="12" t="inlineStr">
        <is>
          <t>A.6.2.4</t>
        </is>
      </c>
      <c r="F18" s="12" t="inlineStr">
        <is>
          <t>MEASURE 1.3; MEASURE 2.3; MEASURE 2.5</t>
        </is>
      </c>
      <c r="G18" s="12" t="inlineStr">
        <is>
          <t>Model Owner + InfoSec</t>
        </is>
      </c>
      <c r="H18" s="28" t="inlineStr">
        <is>
          <t>Not started</t>
        </is>
      </c>
      <c r="I18" s="28" t="n"/>
      <c r="J18" s="12" t="inlineStr">
        <is>
          <t>Validation &amp; test reports</t>
        </is>
      </c>
      <c r="K18" s="12" t="n"/>
      <c r="L18" s="12" t="n"/>
      <c r="M18" s="12" t="n"/>
      <c r="N18" s="12" t="inlineStr">
        <is>
          <t>Play 3, 10</t>
        </is>
      </c>
      <c r="O18" s="12" t="inlineStr">
        <is>
          <t>MGF D4.5</t>
        </is>
      </c>
      <c r="P18" s="12" t="n"/>
      <c r="Q18" s="12" t="n"/>
      <c r="R18" s="12" t="inlineStr">
        <is>
          <t>PA 1, PA 11</t>
        </is>
      </c>
    </row>
    <row r="19" ht="55.5" customHeight="1" s="1">
      <c r="A19" s="29" t="inlineStr">
        <is>
          <t>3. AI Lifecycle Controls</t>
        </is>
      </c>
      <c r="B19" s="30" t="inlineStr">
        <is>
          <t>M3.7</t>
        </is>
      </c>
      <c r="C19" s="29" t="inlineStr">
        <is>
          <t>Technology &amp; cybersecurity controls</t>
        </is>
      </c>
      <c r="D19" s="29" t="inlineStr">
        <is>
          <t>AIRG Consultation Paper P017-2025 (Nov 2025, proposed)</t>
        </is>
      </c>
      <c r="E19" s="29" t="inlineStr">
        <is>
          <t>A.4.5; A.6.2.3</t>
        </is>
      </c>
      <c r="F19" s="29" t="inlineStr">
        <is>
          <t>MEASURE 2.7</t>
        </is>
      </c>
      <c r="G19" s="29" t="inlineStr">
        <is>
          <t>Model Owner + InfoSec</t>
        </is>
      </c>
      <c r="H19" s="31" t="inlineStr">
        <is>
          <t>Not started</t>
        </is>
      </c>
      <c r="I19" s="31" t="n"/>
      <c r="J19" s="29" t="inlineStr">
        <is>
          <t>Security test results</t>
        </is>
      </c>
      <c r="K19" s="29" t="n"/>
      <c r="L19" s="29" t="n"/>
      <c r="M19" s="29" t="n"/>
      <c r="N19" s="12" t="inlineStr">
        <is>
          <t>Play 3</t>
        </is>
      </c>
      <c r="O19" s="12" t="inlineStr">
        <is>
          <t>MGF D3.1, D3.2, D3.3, D3.7 | SAFR S1.3, S1.4, S4.2</t>
        </is>
      </c>
      <c r="P19" s="12" t="n"/>
      <c r="Q19" s="12" t="n"/>
      <c r="R19" s="12" t="inlineStr">
        <is>
          <t>PA 1, PA 3, PA 8, PA 11</t>
        </is>
      </c>
    </row>
    <row r="20" ht="55.5" customHeight="1" s="1">
      <c r="A20" s="12" t="inlineStr">
        <is>
          <t>3. AI Lifecycle Controls</t>
        </is>
      </c>
      <c r="B20" s="11" t="inlineStr">
        <is>
          <t>M3.8</t>
        </is>
      </c>
      <c r="C20" s="12" t="inlineStr">
        <is>
          <t>Reproducibility, auditability, logging &amp; audit trails</t>
        </is>
      </c>
      <c r="D20" s="12" t="inlineStr">
        <is>
          <t>AIRG Consultation Paper P017-2025 (Nov 2025, proposed); MindForge AI Risk Mgmt Toolkit (Mar 2026)</t>
        </is>
      </c>
      <c r="E20" s="12" t="inlineStr">
        <is>
          <t>A.4.4; A.6.2.8</t>
        </is>
      </c>
      <c r="F20" s="12" t="inlineStr">
        <is>
          <t>MEASURE 2.1; MANAGE 4.1</t>
        </is>
      </c>
      <c r="G20" s="12" t="inlineStr">
        <is>
          <t>Model Owner + InfoSec</t>
        </is>
      </c>
      <c r="H20" s="28" t="inlineStr">
        <is>
          <t>Not started</t>
        </is>
      </c>
      <c r="I20" s="28" t="n"/>
      <c r="J20" s="12" t="inlineStr">
        <is>
          <t>Logging standards; audit trail</t>
        </is>
      </c>
      <c r="K20" s="12" t="n"/>
      <c r="L20" s="12" t="n"/>
      <c r="M20" s="12" t="n"/>
      <c r="N20" s="12" t="inlineStr">
        <is>
          <t>Play 3, 5</t>
        </is>
      </c>
      <c r="O20" s="12" t="inlineStr">
        <is>
          <t>MGF D3.6, D3.13 | SAFR S3.1, S3.2, S3.4</t>
        </is>
      </c>
      <c r="P20" s="12" t="n"/>
      <c r="Q20" s="12" t="n"/>
      <c r="R20" s="12" t="inlineStr">
        <is>
          <t>—</t>
        </is>
      </c>
    </row>
    <row r="21" ht="55.5" customHeight="1" s="1">
      <c r="A21" s="29" t="inlineStr">
        <is>
          <t>3. AI Lifecycle Controls</t>
        </is>
      </c>
      <c r="B21" s="30" t="inlineStr">
        <is>
          <t>M3.9</t>
        </is>
      </c>
      <c r="C21" s="29" t="inlineStr">
        <is>
          <t>Pre-deployment review &amp; approval (release criteria)</t>
        </is>
      </c>
      <c r="D21" s="29" t="inlineStr">
        <is>
          <t>AI MRM Paper (Dec 2024); AIRG Consultation Paper P017-2025 (Nov 2025, proposed)</t>
        </is>
      </c>
      <c r="E21" s="29" t="inlineStr">
        <is>
          <t>A.6.2.5</t>
        </is>
      </c>
      <c r="F21" s="29" t="inlineStr">
        <is>
          <t>MANAGE 1.1; MEASURE 2.3</t>
        </is>
      </c>
      <c r="G21" s="29" t="inlineStr">
        <is>
          <t>Model Owner + InfoSec</t>
        </is>
      </c>
      <c r="H21" s="31" t="inlineStr">
        <is>
          <t>Not started</t>
        </is>
      </c>
      <c r="I21" s="31" t="n"/>
      <c r="J21" s="29" t="inlineStr">
        <is>
          <t>Release approval record</t>
        </is>
      </c>
      <c r="K21" s="29" t="n"/>
      <c r="L21" s="29" t="n"/>
      <c r="M21" s="29" t="n"/>
      <c r="N21" s="12" t="inlineStr">
        <is>
          <t>Play 4</t>
        </is>
      </c>
      <c r="O21" s="12" t="n"/>
      <c r="P21" s="12" t="n"/>
      <c r="Q21" s="12" t="n"/>
      <c r="R21" s="12" t="inlineStr">
        <is>
          <t>—</t>
        </is>
      </c>
    </row>
    <row r="22" ht="55.5" customHeight="1" s="1">
      <c r="A22" s="12" t="inlineStr">
        <is>
          <t>3. AI Lifecycle Controls</t>
        </is>
      </c>
      <c r="B22" s="11" t="inlineStr">
        <is>
          <t>M3.10</t>
        </is>
      </c>
      <c r="C22" s="12" t="inlineStr">
        <is>
          <t>Post-deployment monitoring (drift, dashboards, revalidation, backtesting)</t>
        </is>
      </c>
      <c r="D22" s="12" t="inlineStr">
        <is>
          <t>AI MRM Paper (Dec 2024); AIRG Consultation Paper P017-2025 (Nov 2025, proposed); MindForge AI Risk Mgmt Toolkit (Mar 2026)</t>
        </is>
      </c>
      <c r="E22" s="12" t="inlineStr">
        <is>
          <t>A.6.2.6</t>
        </is>
      </c>
      <c r="F22" s="12" t="inlineStr">
        <is>
          <t>MEASURE 2.4; MEASURE 3.1; MANAGE 4.1</t>
        </is>
      </c>
      <c r="G22" s="12" t="inlineStr">
        <is>
          <t>Model Owner + InfoSec</t>
        </is>
      </c>
      <c r="H22" s="28" t="inlineStr">
        <is>
          <t>Not started</t>
        </is>
      </c>
      <c r="I22" s="28" t="n"/>
      <c r="J22" s="12" t="inlineStr">
        <is>
          <t>Monitoring dashboards</t>
        </is>
      </c>
      <c r="K22" s="12" t="n"/>
      <c r="L22" s="12" t="n"/>
      <c r="M22" s="12" t="n"/>
      <c r="N22" s="12" t="inlineStr">
        <is>
          <t>Play 5, 11</t>
        </is>
      </c>
      <c r="O22" s="12" t="inlineStr">
        <is>
          <t>MGF D3.11, D3.12, D3.14 | SAFR S2.5, S3.5</t>
        </is>
      </c>
      <c r="P22" s="12" t="n"/>
      <c r="Q22" s="12" t="n"/>
      <c r="R22" s="12" t="inlineStr">
        <is>
          <t>PA 6</t>
        </is>
      </c>
    </row>
    <row r="23" ht="55.5" customHeight="1" s="1">
      <c r="A23" s="29" t="inlineStr">
        <is>
          <t>3. AI Lifecycle Controls</t>
        </is>
      </c>
      <c r="B23" s="30" t="inlineStr">
        <is>
          <t>M3.11</t>
        </is>
      </c>
      <c r="C23" s="29" t="inlineStr">
        <is>
          <t>Incident management &amp; escalation</t>
        </is>
      </c>
      <c r="D23" s="29" t="inlineStr">
        <is>
          <t>AIRG Consultation Paper P017-2025 (Nov 2025, proposed)</t>
        </is>
      </c>
      <c r="E23" s="29" t="inlineStr">
        <is>
          <t>A.3.3; A.8.4</t>
        </is>
      </c>
      <c r="F23" s="29" t="inlineStr">
        <is>
          <t>GOVERN 4.3; MEASURE 3.3; MANAGE 4.3</t>
        </is>
      </c>
      <c r="G23" s="29" t="inlineStr">
        <is>
          <t>Model Owner + InfoSec</t>
        </is>
      </c>
      <c r="H23" s="31" t="inlineStr">
        <is>
          <t>Not started</t>
        </is>
      </c>
      <c r="I23" s="31" t="n"/>
      <c r="J23" s="29" t="inlineStr">
        <is>
          <t>Incident playbook</t>
        </is>
      </c>
      <c r="K23" s="29" t="n"/>
      <c r="L23" s="29" t="n"/>
      <c r="M23" s="29" t="inlineStr">
        <is>
          <t>Regulatory notification trigger — FSM-N05 (Technology Risk Management, eff. 10 May 2024; supersedes Notices 644/127/PSN05): notify MAS ≤1 hour of discovering a “relevant incident” (severe/widespread operational or material customer-service impact); root-cause &amp; impact report ≤14 days; 4-hour RTO for critical systems. Confirm exact FSM notice reference for the licence type. (MAS Notice 655 Cyber Hygiene is separate.)</t>
        </is>
      </c>
      <c r="N23" s="12" t="inlineStr">
        <is>
          <t>Play 6</t>
        </is>
      </c>
      <c r="O23" s="12" t="inlineStr">
        <is>
          <t>MGF D3.15, D3.16 | SAFR S2.4, S3.5</t>
        </is>
      </c>
      <c r="P23" s="12" t="n"/>
      <c r="Q23" s="12" t="n"/>
      <c r="R23" s="12" t="inlineStr">
        <is>
          <t>PA 10</t>
        </is>
      </c>
    </row>
    <row r="24" ht="55.5" customHeight="1" s="1">
      <c r="A24" s="12" t="inlineStr">
        <is>
          <t>3. AI Lifecycle Controls</t>
        </is>
      </c>
      <c r="B24" s="11" t="inlineStr">
        <is>
          <t>M3.12</t>
        </is>
      </c>
      <c r="C24" s="12" t="inlineStr">
        <is>
          <t>Change management</t>
        </is>
      </c>
      <c r="D24" s="12" t="inlineStr">
        <is>
          <t>AIRG Consultation Paper P017-2025 (Nov 2025, proposed)</t>
        </is>
      </c>
      <c r="E24" s="12" t="inlineStr">
        <is>
          <t>A.6.2.2; A.6.2.6</t>
        </is>
      </c>
      <c r="F24" s="12" t="inlineStr">
        <is>
          <t>MANAGE 2.2; MANAGE 4.2</t>
        </is>
      </c>
      <c r="G24" s="12" t="inlineStr">
        <is>
          <t>Model Owner + InfoSec</t>
        </is>
      </c>
      <c r="H24" s="28" t="inlineStr">
        <is>
          <t>Not started</t>
        </is>
      </c>
      <c r="I24" s="28" t="n"/>
      <c r="J24" s="12" t="inlineStr">
        <is>
          <t>Change records</t>
        </is>
      </c>
      <c r="K24" s="12" t="n"/>
      <c r="L24" s="12" t="n"/>
      <c r="M24" s="12" t="n"/>
      <c r="N24" s="12" t="inlineStr">
        <is>
          <t>Play 8</t>
        </is>
      </c>
      <c r="O24" s="12" t="n"/>
      <c r="P24" s="12" t="n"/>
      <c r="Q24" s="12" t="n"/>
      <c r="R24" s="12" t="inlineStr">
        <is>
          <t>PA 5</t>
        </is>
      </c>
    </row>
    <row r="25" ht="55.5" customHeight="1" s="1">
      <c r="A25" s="29" t="inlineStr">
        <is>
          <t>3. AI Lifecycle Controls</t>
        </is>
      </c>
      <c r="B25" s="30" t="inlineStr">
        <is>
          <t>M3.13</t>
        </is>
      </c>
      <c r="C25" s="29" t="inlineStr">
        <is>
          <t>Decommissioning / safe phase-out</t>
        </is>
      </c>
      <c r="D25" s="29" t="inlineStr">
        <is>
          <t>AIRG Consultation Paper P017-2025 (Nov 2025, proposed)</t>
        </is>
      </c>
      <c r="E25" s="29" t="inlineStr">
        <is>
          <t>A.6.2.6</t>
        </is>
      </c>
      <c r="F25" s="29" t="inlineStr">
        <is>
          <t>GOVERN 1.7; MANAGE 2.4</t>
        </is>
      </c>
      <c r="G25" s="29" t="inlineStr">
        <is>
          <t>Model Owner + InfoSec</t>
        </is>
      </c>
      <c r="H25" s="31" t="inlineStr">
        <is>
          <t>Not started</t>
        </is>
      </c>
      <c r="I25" s="31" t="n"/>
      <c r="J25" s="29" t="inlineStr">
        <is>
          <t>Decommissioning checklist</t>
        </is>
      </c>
      <c r="K25" s="29" t="n"/>
      <c r="L25" s="29" t="n"/>
      <c r="M25" s="29" t="n"/>
      <c r="N25" s="12" t="inlineStr">
        <is>
          <t>Play 9</t>
        </is>
      </c>
      <c r="O25" s="12" t="n"/>
      <c r="P25" s="12" t="n"/>
      <c r="Q25" s="12" t="n"/>
      <c r="R25" s="12" t="inlineStr">
        <is>
          <t>PA 7</t>
        </is>
      </c>
    </row>
    <row r="26" ht="55.5" customHeight="1" s="1">
      <c r="A26" s="12" t="inlineStr">
        <is>
          <t>3. AI Lifecycle Controls</t>
        </is>
      </c>
      <c r="B26" s="11" t="inlineStr">
        <is>
          <t>M3.14</t>
        </is>
      </c>
      <c r="C26" s="12" t="inlineStr">
        <is>
          <t>Third-party / vendor AI risk management</t>
        </is>
      </c>
      <c r="D26" s="12" t="inlineStr">
        <is>
          <t>AI MRM Paper (Dec 2024); AIRG Consultation Paper P017-2025 (Nov 2025, proposed)</t>
        </is>
      </c>
      <c r="E26" s="12" t="inlineStr">
        <is>
          <t>A.10.2; A.10.3; A.10.4</t>
        </is>
      </c>
      <c r="F26" s="12" t="inlineStr">
        <is>
          <t>GOVERN 6.1; GOVERN 6.2; MAP 4.1; MANAGE 3.1; MANAGE 3.2</t>
        </is>
      </c>
      <c r="G26" s="12" t="inlineStr">
        <is>
          <t>Model Owner + InfoSec</t>
        </is>
      </c>
      <c r="H26" s="28" t="inlineStr">
        <is>
          <t>Not started</t>
        </is>
      </c>
      <c r="I26" s="28" t="n"/>
      <c r="J26" s="12" t="inlineStr">
        <is>
          <t>Vendor due diligence; contract clauses</t>
        </is>
      </c>
      <c r="K26" s="12" t="n"/>
      <c r="L26" s="12" t="n"/>
      <c r="M26" s="12" t="n"/>
      <c r="N26" s="12" t="inlineStr">
        <is>
          <t>Play 7</t>
        </is>
      </c>
      <c r="O26" s="12" t="inlineStr">
        <is>
          <t>MGF D1.6, D3.9 | SAFR S4.4, S4.5</t>
        </is>
      </c>
      <c r="P26" s="12" t="n"/>
      <c r="Q26" s="12" t="n"/>
      <c r="R26" s="12" t="inlineStr">
        <is>
          <t>PA 3</t>
        </is>
      </c>
    </row>
    <row r="27" ht="55.5" customHeight="1" s="1">
      <c r="A27" s="29" t="inlineStr">
        <is>
          <t>3. AI Lifecycle Controls</t>
        </is>
      </c>
      <c r="B27" s="30" t="inlineStr">
        <is>
          <t>M3.15</t>
        </is>
      </c>
      <c r="C27" s="29" t="inlineStr">
        <is>
          <t>Generative AI &amp; AI-agent risks (hallucination, autonomy, adversarial, concentration)</t>
        </is>
      </c>
      <c r="D27" s="29" t="inlineStr">
        <is>
          <t>AIRG Consultation Paper P017-2025 (Nov 2025, proposed); MindForge AI Risk Mgmt Toolkit (Mar 2026)</t>
        </is>
      </c>
      <c r="E27" s="29" t="inlineStr">
        <is>
          <t>A.5.5; A.6.2.6</t>
        </is>
      </c>
      <c r="F27" s="29" t="inlineStr">
        <is>
          <t>MAP 5.1; MEASURE 2.6; MEASURE 2.7; MANAGE 2.3</t>
        </is>
      </c>
      <c r="G27" s="29" t="inlineStr">
        <is>
          <t>Model Owner + InfoSec</t>
        </is>
      </c>
      <c r="H27" s="31" t="inlineStr">
        <is>
          <t>Not started</t>
        </is>
      </c>
      <c r="I27" s="31" t="n"/>
      <c r="J27" s="29" t="inlineStr">
        <is>
          <t>GenAI/ agent risk assessment</t>
        </is>
      </c>
      <c r="K27" s="29" t="n"/>
      <c r="L27" s="29" t="n"/>
      <c r="M27" s="29" t="n"/>
      <c r="N27" s="12" t="inlineStr">
        <is>
          <t>Play 10</t>
        </is>
      </c>
      <c r="O27" s="12" t="inlineStr">
        <is>
          <t>AGENTIC HINGE → MGF: all D1–D4 | SAFR: all S1–S4</t>
        </is>
      </c>
      <c r="P27" s="12" t="n"/>
      <c r="Q27" s="12" t="n"/>
      <c r="R27" s="12" t="inlineStr">
        <is>
          <t>PA 3</t>
        </is>
      </c>
    </row>
    <row r="28" ht="55.5" customHeight="1" s="1">
      <c r="A28" s="12" t="inlineStr">
        <is>
          <t>4. AI Capability &amp; Capacity</t>
        </is>
      </c>
      <c r="B28" s="11" t="inlineStr">
        <is>
          <t>M4.1</t>
        </is>
      </c>
      <c r="C28" s="12" t="inlineStr">
        <is>
          <t>Skills, training, resourcing &amp; competency</t>
        </is>
      </c>
      <c r="D28" s="12" t="inlineStr">
        <is>
          <t>AIRG Consultation Paper P017-2025 (Nov 2025, proposed); AI MRM Paper (Dec 2024)</t>
        </is>
      </c>
      <c r="E28" s="12" t="inlineStr">
        <is>
          <t>A.4.6</t>
        </is>
      </c>
      <c r="F28" s="12" t="inlineStr">
        <is>
          <t>GOVERN 2.2</t>
        </is>
      </c>
      <c r="G28" s="12" t="inlineStr">
        <is>
          <t>AI Risk / HR</t>
        </is>
      </c>
      <c r="H28" s="28" t="inlineStr">
        <is>
          <t>Not started</t>
        </is>
      </c>
      <c r="I28" s="28" t="n"/>
      <c r="J28" s="12" t="inlineStr">
        <is>
          <t>Capability plan; training records</t>
        </is>
      </c>
      <c r="K28" s="12" t="n"/>
      <c r="L28" s="12" t="n"/>
      <c r="M28" s="12" t="n"/>
      <c r="N28" s="12" t="n"/>
      <c r="O28" s="12" t="n"/>
      <c r="P28" s="12" t="n"/>
      <c r="Q28" s="12" t="n"/>
      <c r="R28" s="12" t="inlineStr">
        <is>
          <t>PA 11</t>
        </is>
      </c>
    </row>
    <row r="29" ht="55.5" customHeight="1" s="1">
      <c r="A29" s="29" t="inlineStr">
        <is>
          <t>4. AI Capability &amp; Capacity</t>
        </is>
      </c>
      <c r="B29" s="30" t="inlineStr">
        <is>
          <t>M4.2</t>
        </is>
      </c>
      <c r="C29" s="29" t="inlineStr">
        <is>
          <t>Technology infrastructure &amp; tooling capacity</t>
        </is>
      </c>
      <c r="D29" s="29" t="inlineStr">
        <is>
          <t>AIRG Consultation Paper P017-2025 (Nov 2025, proposed)</t>
        </is>
      </c>
      <c r="E29" s="29" t="inlineStr">
        <is>
          <t>A.4.4; A.4.5</t>
        </is>
      </c>
      <c r="F29" s="29" t="inlineStr">
        <is>
          <t>MAP 1.6</t>
        </is>
      </c>
      <c r="G29" s="29" t="inlineStr">
        <is>
          <t>AI Risk / HR</t>
        </is>
      </c>
      <c r="H29" s="31" t="inlineStr">
        <is>
          <t>Not started</t>
        </is>
      </c>
      <c r="I29" s="31" t="n"/>
      <c r="J29" s="29" t="inlineStr">
        <is>
          <t>Infrastructure &amp; tooling plan</t>
        </is>
      </c>
      <c r="K29" s="29" t="n"/>
      <c r="L29" s="29" t="n"/>
      <c r="M29" s="29" t="n"/>
      <c r="N29" s="12" t="n"/>
      <c r="O29" s="12" t="n"/>
      <c r="P29" s="12" t="n"/>
      <c r="Q29" s="12" t="n"/>
      <c r="R29" s="12" t="inlineStr">
        <is>
          <t>PA 5, PA 11</t>
        </is>
      </c>
    </row>
    <row r="30" ht="55.5" customHeight="1" s="1">
      <c r="A30" s="12" t="inlineStr">
        <is>
          <t>Cross-cutting: FEAT Principles</t>
        </is>
      </c>
      <c r="B30" s="11" t="inlineStr">
        <is>
          <t>F1</t>
        </is>
      </c>
      <c r="C30" s="12" t="inlineStr">
        <is>
          <t>Fairness — AIDA decisions do not systematically disadvantage individuals/groups</t>
        </is>
      </c>
      <c r="D30" s="12" t="inlineStr">
        <is>
          <t>FEAT (2018)</t>
        </is>
      </c>
      <c r="E30" s="12" t="inlineStr">
        <is>
          <t>A.5.4; A.7.4</t>
        </is>
      </c>
      <c r="F30" s="12" t="inlineStr">
        <is>
          <t>MEASURE 2.11</t>
        </is>
      </c>
      <c r="G30" s="12" t="inlineStr">
        <is>
          <t>Compliance</t>
        </is>
      </c>
      <c r="H30" s="28" t="inlineStr">
        <is>
          <t>In progress</t>
        </is>
      </c>
      <c r="I30" s="28" t="n"/>
      <c r="J30" s="12" t="inlineStr">
        <is>
          <t>Fairness Assessment Report (Veritas 3A); fairness-metric results vs thresholds</t>
        </is>
      </c>
      <c r="K30" s="12" t="n"/>
      <c r="L30" s="12" t="inlineStr">
        <is>
          <t>Annual (high-materiality) + on drift / change</t>
        </is>
      </c>
      <c r="M30" s="12" t="inlineStr">
        <is>
          <t>Run per FEAT Assessment Methodology (Veritas-aligned) §A; high-materiality validated per §D. Triggered in Plays 2/3/4; re-tested in Plays 5/8.</t>
        </is>
      </c>
      <c r="N30" s="12" t="inlineStr">
        <is>
          <t>Play 2, 3, 4, 5, 8</t>
        </is>
      </c>
      <c r="O30" s="12" t="n"/>
      <c r="P30" s="12" t="n"/>
      <c r="Q30" s="12" t="n"/>
      <c r="R30" s="12" t="inlineStr">
        <is>
          <t>—</t>
        </is>
      </c>
    </row>
    <row r="31" ht="55.5" customHeight="1" s="1">
      <c r="A31" s="29" t="inlineStr">
        <is>
          <t>Cross-cutting: FEAT Principles</t>
        </is>
      </c>
      <c r="B31" s="30" t="inlineStr">
        <is>
          <t>F2</t>
        </is>
      </c>
      <c r="C31" s="29" t="inlineStr">
        <is>
          <t>Ethics — AIDA use aligns with organisational ethical standards</t>
        </is>
      </c>
      <c r="D31" s="29" t="inlineStr">
        <is>
          <t>FEAT (2018)</t>
        </is>
      </c>
      <c r="E31" s="29" t="inlineStr">
        <is>
          <t>A.2.2; A.5.5</t>
        </is>
      </c>
      <c r="F31" s="29" t="inlineStr">
        <is>
          <t>GOVERN 1.2; GOVERN 4.1</t>
        </is>
      </c>
      <c r="G31" s="29" t="inlineStr">
        <is>
          <t>Compliance</t>
        </is>
      </c>
      <c r="H31" s="31" t="inlineStr">
        <is>
          <t>In progress</t>
        </is>
      </c>
      <c r="I31" s="31" t="n"/>
      <c r="J31" s="29" t="inlineStr">
        <is>
          <t>Ethics alignment attestation (Veritas 3B)</t>
        </is>
      </c>
      <c r="K31" s="29" t="n"/>
      <c r="L31" s="29" t="inlineStr">
        <is>
          <t>Annual + on material change</t>
        </is>
      </c>
      <c r="M31" s="29" t="inlineStr">
        <is>
          <t>§B — org-level guiding principles set first; confirmed per use case at Play 2. Reflected in M1.2.</t>
        </is>
      </c>
      <c r="N31" s="12" t="inlineStr">
        <is>
          <t>Play 2, 4, 8</t>
        </is>
      </c>
      <c r="O31" s="12" t="n"/>
      <c r="P31" s="12" t="n"/>
      <c r="Q31" s="12" t="n"/>
      <c r="R31" s="12" t="inlineStr">
        <is>
          <t>—</t>
        </is>
      </c>
    </row>
    <row r="32" ht="55.5" customHeight="1" s="1">
      <c r="A32" s="12" t="inlineStr">
        <is>
          <t>Cross-cutting: FEAT Principles</t>
        </is>
      </c>
      <c r="B32" s="11" t="inlineStr">
        <is>
          <t>F3</t>
        </is>
      </c>
      <c r="C32" s="12" t="inlineStr">
        <is>
          <t>Accountability — clear internal &amp; external accountability for AIDA-driven decisions</t>
        </is>
      </c>
      <c r="D32" s="12" t="inlineStr">
        <is>
          <t>FEAT (2018)</t>
        </is>
      </c>
      <c r="E32" s="12" t="inlineStr">
        <is>
          <t>A.3.2; A.10.2</t>
        </is>
      </c>
      <c r="F32" s="12" t="inlineStr">
        <is>
          <t>GOVERN 2.1; GOVERN 2.3</t>
        </is>
      </c>
      <c r="G32" s="12" t="inlineStr">
        <is>
          <t>Compliance</t>
        </is>
      </c>
      <c r="H32" s="28" t="inlineStr">
        <is>
          <t>In progress</t>
        </is>
      </c>
      <c r="I32" s="28" t="n"/>
      <c r="J32" s="12" t="inlineStr">
        <is>
          <t>Accountability matrix; internal authorisation record (Veritas 3B)</t>
        </is>
      </c>
      <c r="K32" s="12" t="n"/>
      <c r="L32" s="12" t="inlineStr">
        <is>
          <t>Annual + on change</t>
        </is>
      </c>
      <c r="M32" s="12" t="inlineStr">
        <is>
          <t>§B — includes third-party model accountability (non-delegable). Anchored in M1.1, M1.3.</t>
        </is>
      </c>
      <c r="N32" s="12" t="inlineStr">
        <is>
          <t>Play 2, 4, 8</t>
        </is>
      </c>
      <c r="O32" s="12" t="inlineStr">
        <is>
          <t>MGF D1.5, D2.1 | SAFR S1.1, S3.3</t>
        </is>
      </c>
      <c r="P32" s="12" t="n"/>
      <c r="Q32" s="12" t="n"/>
      <c r="R32" s="12" t="inlineStr">
        <is>
          <t>—</t>
        </is>
      </c>
    </row>
    <row r="33" ht="55.5" customHeight="1" s="1">
      <c r="A33" s="29" t="inlineStr">
        <is>
          <t>Cross-cutting: FEAT Principles</t>
        </is>
      </c>
      <c r="B33" s="30" t="inlineStr">
        <is>
          <t>F4</t>
        </is>
      </c>
      <c r="C33" s="29" t="inlineStr">
        <is>
          <t>Transparency — disclosure &amp; explanation appropriate to each stakeholder</t>
        </is>
      </c>
      <c r="D33" s="29" t="inlineStr">
        <is>
          <t>FEAT (2018)</t>
        </is>
      </c>
      <c r="E33" s="29" t="inlineStr">
        <is>
          <t>A.8.2; A.8.5; A.6.2.7</t>
        </is>
      </c>
      <c r="F33" s="29" t="inlineStr">
        <is>
          <t>MEASURE 2.8; MEASURE 2.9</t>
        </is>
      </c>
      <c r="G33" s="29" t="inlineStr">
        <is>
          <t>Compliance</t>
        </is>
      </c>
      <c r="H33" s="31" t="inlineStr">
        <is>
          <t>In progress</t>
        </is>
      </c>
      <c r="I33" s="31" t="n"/>
      <c r="J33" s="29" t="inlineStr">
        <is>
          <t>Transparency assessment; model card; customer disclosure standard (Veritas 3C)</t>
        </is>
      </c>
      <c r="K33" s="29" t="n"/>
      <c r="L33" s="29" t="inlineStr">
        <is>
          <t>Annual + on change</t>
        </is>
      </c>
      <c r="M33" s="29" t="inlineStr">
        <is>
          <t>§C — internal + external transparency proportionate to materiality. Triggered Plays 3/4; reviewed Play 8.</t>
        </is>
      </c>
      <c r="N33" s="12" t="inlineStr">
        <is>
          <t>Play 2, 3, 4, 5, 8</t>
        </is>
      </c>
      <c r="O33" s="12" t="inlineStr">
        <is>
          <t>MGF D2.7, D4.1 | SAFR S3.2</t>
        </is>
      </c>
      <c r="P33" s="12" t="n"/>
      <c r="Q33" s="12" t="n"/>
      <c r="R33" s="12" t="inlineStr">
        <is>
          <t>—</t>
        </is>
      </c>
    </row>
  </sheetData>
  <autoFilter ref="A3:Q33"/>
  <mergeCells count="1">
    <mergeCell ref="A1:F1"/>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7.xml><?xml version="1.0" encoding="utf-8"?>
<worksheet xmlns="http://schemas.openxmlformats.org/spreadsheetml/2006/main">
  <sheetPr filterMode="0">
    <outlinePr applyStyles="0" summaryBelow="1" summaryRight="1" showOutlineSymbols="1"/>
    <pageSetUpPr autoPageBreaks="1" fitToPage="0"/>
  </sheetPr>
  <dimension ref="A1:L17"/>
  <sheetViews>
    <sheetView showFormulas="0" showGridLines="0" showRowColHeaders="1" showZeros="1" rightToLeft="0" view="normal" topLeftCell="E1" zoomScale="100" workbookViewId="0">
      <pane ySplit="3" topLeftCell="A4" activePane="bottomLeft" state="frozen"/>
      <selection activeCell="A1" activeCellId="0" sqref="A1"/>
    </sheetView>
  </sheetViews>
  <sheetFormatPr baseColWidth="8" defaultColWidth="8.6796875" defaultRowHeight="15"/>
  <cols>
    <col width="4" customWidth="1" style="1" min="1" max="1"/>
    <col width="28" customWidth="1" style="1" min="2" max="2"/>
    <col width="13" customWidth="1" style="1" min="3" max="3"/>
    <col width="40" customWidth="1" style="1" min="4" max="5"/>
    <col width="30" customWidth="1" style="1" min="6" max="6"/>
    <col width="20" customWidth="1" style="1" min="7" max="7"/>
    <col width="18" customWidth="1" style="1" min="8" max="8"/>
    <col width="12" customWidth="1" style="1" min="9" max="10"/>
    <col width="14" customWidth="1" style="1" min="11" max="11"/>
    <col width="12" customWidth="1" style="1" min="12" max="12"/>
  </cols>
  <sheetData>
    <row r="1" ht="15.75" customHeight="1" s="1">
      <c r="A1" s="9" t="inlineStr">
        <is>
          <t>Stress-Test Tracker — Hotspot Register (10 core + 4 SAFR runtime)</t>
        </is>
      </c>
    </row>
    <row r="3" ht="15" customHeight="1" s="1">
      <c r="A3" s="34" t="inlineStr">
        <is>
          <t>#</t>
        </is>
      </c>
      <c r="B3" s="34" t="inlineStr">
        <is>
          <t>Hotspot</t>
        </is>
      </c>
      <c r="C3" s="34" t="inlineStr">
        <is>
          <t>Class</t>
        </is>
      </c>
      <c r="D3" s="34" t="inlineStr">
        <is>
          <t>Failure mode</t>
        </is>
      </c>
      <c r="E3" s="34" t="inlineStr">
        <is>
          <t>Recommended stress tests</t>
        </is>
      </c>
      <c r="F3" s="34" t="inlineStr">
        <is>
          <t>Maps to</t>
        </is>
      </c>
      <c r="G3" s="34" t="inlineStr">
        <is>
          <t>Owner (role)</t>
        </is>
      </c>
      <c r="H3" s="34" t="inlineStr">
        <is>
          <t>Cadence</t>
        </is>
      </c>
      <c r="I3" s="34" t="inlineStr">
        <is>
          <t>Last run</t>
        </is>
      </c>
      <c r="J3" s="34" t="inlineStr">
        <is>
          <t>Result</t>
        </is>
      </c>
      <c r="K3" s="34" t="inlineStr">
        <is>
          <t>Residual risk</t>
        </is>
      </c>
      <c r="L3" s="34" t="inlineStr">
        <is>
          <t>Next run</t>
        </is>
      </c>
    </row>
    <row r="4" ht="91.5" customHeight="1" s="1">
      <c r="A4" s="35" t="n">
        <v>1</v>
      </c>
      <c r="B4" s="11" t="inlineStr">
        <is>
          <t>Generative AI hallucination &amp; factual unreliability</t>
        </is>
      </c>
      <c r="C4" s="28" t="inlineStr">
        <is>
          <t>GenAI / Agent</t>
        </is>
      </c>
      <c r="D4" s="12" t="inlineStr">
        <is>
          <t>Model emits confident but fabricated or wrong outputs; in an FI context this means mis-stated facts, bad advice, or compliance breaches reaching customers or filings.</t>
        </is>
      </c>
      <c r="E4" s="12" t="inlineStr">
        <is>
          <t>Known-answer benchmarks; RAG grounding &amp; citation-faithfulness checks; out-of-distribution and ambiguous prompts; human-graded evals on edge cases; hallucination-rate thresholds.</t>
        </is>
      </c>
      <c r="F4" s="12" t="inlineStr">
        <is>
          <t>NIST MEASURE 2.5, 2.9  |  ISO A.6.2.4, A.6.2.6  |  MAS M3.6, M3.15</t>
        </is>
      </c>
      <c r="G4" s="12" t="inlineStr">
        <is>
          <t>InfoSec + Model Owner</t>
        </is>
      </c>
      <c r="H4" s="28" t="inlineStr">
        <is>
          <t>Quarterly + pre-release</t>
        </is>
      </c>
      <c r="I4" s="28" t="n"/>
      <c r="J4" s="28" t="inlineStr">
        <is>
          <t>Not run</t>
        </is>
      </c>
      <c r="K4" s="28" t="n"/>
      <c r="L4" s="28" t="n"/>
    </row>
    <row r="5" ht="91.5" customHeight="1" s="1">
      <c r="A5" s="36" t="n">
        <v>2</v>
      </c>
      <c r="B5" s="37" t="inlineStr">
        <is>
          <t>Prompt injection, jailbreak &amp; data exfiltration</t>
        </is>
      </c>
      <c r="C5" s="38" t="inlineStr">
        <is>
          <t>GenAI / Agent</t>
        </is>
      </c>
      <c r="D5" s="39" t="inlineStr">
        <is>
          <t>Crafted inputs override instructions, bypass guardrails, leak the system prompt or PII — including indirect injection via retrieved or third-party content.</t>
        </is>
      </c>
      <c r="E5" s="39" t="inlineStr">
        <is>
          <t>Red-team injection &amp; jailbreak corpora; indirect/second-order injection via documents and tool outputs; exfiltration canary tokens; guardrail bypass regression suite.</t>
        </is>
      </c>
      <c r="F5" s="39" t="inlineStr">
        <is>
          <t>NIST MEASURE 2.7  |  ISO A.6.2.3, A.6.2.6  |  MAS M3.7, M3.15</t>
        </is>
      </c>
      <c r="G5" s="39" t="inlineStr">
        <is>
          <t>InfoSec + Model Owner</t>
        </is>
      </c>
      <c r="H5" s="38" t="inlineStr">
        <is>
          <t>Quarterly + pre-release</t>
        </is>
      </c>
      <c r="I5" s="40" t="n">
        <v>46271</v>
      </c>
      <c r="J5" s="38" t="inlineStr">
        <is>
          <t>Fail</t>
        </is>
      </c>
      <c r="K5" s="38" t="inlineStr">
        <is>
          <t>High</t>
        </is>
      </c>
      <c r="L5" s="40" t="n">
        <v>46362</v>
      </c>
    </row>
    <row r="6" ht="91.5" customHeight="1" s="1">
      <c r="A6" s="35" t="n">
        <v>3</v>
      </c>
      <c r="B6" s="11" t="inlineStr">
        <is>
          <t>Autonomous agent behaviour &amp; unintended actions</t>
        </is>
      </c>
      <c r="C6" s="28" t="inlineStr">
        <is>
          <t>GenAI / Agent</t>
        </is>
      </c>
      <c r="D6" s="12" t="inlineStr">
        <is>
          <t>Tool misuse, runaway loops, scope creep, or irreversible actions taken without a human gate; small errors compound across an action chain.</t>
        </is>
      </c>
      <c r="E6" s="12" t="inlineStr">
        <is>
          <t>Sandboxed scenario testing; adversarial multi-step task chains; action-space &amp; permission-boundary probes; kill-switch and rollback drills; concentration of authority tests.</t>
        </is>
      </c>
      <c r="F6" s="12" t="inlineStr">
        <is>
          <t>NIST MANAGE 2.3, 2.4  |  ISO A.9.4, A.6.2.6  |  MAS M3.4, M3.15</t>
        </is>
      </c>
      <c r="G6" s="12" t="inlineStr">
        <is>
          <t>InfoSec + Model Owner</t>
        </is>
      </c>
      <c r="H6" s="28" t="inlineStr">
        <is>
          <t>Quarterly + pre-release</t>
        </is>
      </c>
      <c r="I6" s="28" t="n"/>
      <c r="J6" s="28" t="inlineStr">
        <is>
          <t>Not run</t>
        </is>
      </c>
      <c r="K6" s="28" t="n"/>
      <c r="L6" s="28" t="n"/>
    </row>
    <row r="7" ht="91.5" customHeight="1" s="1">
      <c r="A7" s="36" t="n">
        <v>4</v>
      </c>
      <c r="B7" s="37" t="inlineStr">
        <is>
          <t>Model drift &amp; performance degradation in production</t>
        </is>
      </c>
      <c r="C7" s="38" t="inlineStr">
        <is>
          <t>Classic ML</t>
        </is>
      </c>
      <c r="D7" s="39" t="inlineStr">
        <is>
          <t>Data or concept drift silently erodes accuracy; monitoring thresholds fail to trip or are mis-calibrated, so decay goes unnoticed.</t>
        </is>
      </c>
      <c r="E7" s="39" t="inlineStr">
        <is>
          <t>Backtesting on shifted time windows; synthetic distribution-shift injection; champion/challenger; validation that drift-alert thresholds actually fire; scheduled revalidation.</t>
        </is>
      </c>
      <c r="F7" s="39" t="inlineStr">
        <is>
          <t>NIST MEASURE 2.4, 3.1  |  ISO A.6.2.6  |  MAS M3.10</t>
        </is>
      </c>
      <c r="G7" s="39" t="inlineStr">
        <is>
          <t>Model Risk + Data Sci</t>
        </is>
      </c>
      <c r="H7" s="38" t="inlineStr">
        <is>
          <t>Quarterly</t>
        </is>
      </c>
      <c r="I7" s="38" t="n"/>
      <c r="J7" s="38" t="inlineStr">
        <is>
          <t>Not run</t>
        </is>
      </c>
      <c r="K7" s="38" t="n"/>
      <c r="L7" s="38" t="n"/>
    </row>
    <row r="8" ht="91.5" customHeight="1" s="1">
      <c r="A8" s="35" t="n">
        <v>5</v>
      </c>
      <c r="B8" s="11" t="inlineStr">
        <is>
          <t>Fairness &amp; bias across subgroups</t>
        </is>
      </c>
      <c r="C8" s="28" t="inlineStr">
        <is>
          <t>Cross-cutting</t>
        </is>
      </c>
      <c r="D8" s="12" t="inlineStr">
        <is>
          <t>Disparate impact on protected or commercial segments; proxy discrimination through correlated features (e.g. postcode as a race proxy).</t>
        </is>
      </c>
      <c r="E8" s="12" t="inlineStr">
        <is>
          <t>Slice/subgroup performance; counterfactual fairness tests; proxy-variable analysis; disparate-impact ratio under stressed/underrepresented populations.</t>
        </is>
      </c>
      <c r="F8" s="12" t="inlineStr">
        <is>
          <t>NIST MEASURE 2.11  |  ISO A.5.4, A.7.4  |  MAS M3.2, FEAT F1</t>
        </is>
      </c>
      <c r="G8" s="12" t="inlineStr">
        <is>
          <t>AI Risk + InfoSec</t>
        </is>
      </c>
      <c r="H8" s="28" t="inlineStr">
        <is>
          <t>Semi-annual</t>
        </is>
      </c>
      <c r="I8" s="28" t="n"/>
      <c r="J8" s="28" t="inlineStr">
        <is>
          <t>Not run</t>
        </is>
      </c>
      <c r="K8" s="28" t="n"/>
      <c r="L8" s="28" t="n"/>
    </row>
    <row r="9" ht="91.5" customHeight="1" s="1">
      <c r="A9" s="36" t="n">
        <v>6</v>
      </c>
      <c r="B9" s="37" t="inlineStr">
        <is>
          <t>Data quality, lineage &amp; poisoning</t>
        </is>
      </c>
      <c r="C9" s="38" t="inlineStr">
        <is>
          <t>Classic ML</t>
        </is>
      </c>
      <c r="D9" s="39" t="inlineStr">
        <is>
          <t>Corrupt, unrepresentative or maliciously poisoned data degrades or backdoors the model; broken lineage makes the cause untraceable.</t>
        </is>
      </c>
      <c r="E9" s="39" t="inlineStr">
        <is>
          <t>Data-poisoning &amp; label-noise injection; lineage-break detection; missing/corrupt feature injection; representativeness checks under stressed segments.</t>
        </is>
      </c>
      <c r="F9" s="39" t="inlineStr">
        <is>
          <t>NIST MAP 2.3, MEASURE 2.1  |  ISO A.7.4, A.7.5  |  MAS M3.1, M2.3</t>
        </is>
      </c>
      <c r="G9" s="39" t="inlineStr">
        <is>
          <t>Model Risk + Data Sci</t>
        </is>
      </c>
      <c r="H9" s="38" t="inlineStr">
        <is>
          <t>Quarterly</t>
        </is>
      </c>
      <c r="I9" s="38" t="n"/>
      <c r="J9" s="38" t="inlineStr">
        <is>
          <t>Not run</t>
        </is>
      </c>
      <c r="K9" s="38" t="n"/>
      <c r="L9" s="38" t="n"/>
    </row>
    <row r="10" ht="91.5" customHeight="1" s="1">
      <c r="A10" s="35" t="n">
        <v>7</v>
      </c>
      <c r="B10" s="11" t="inlineStr">
        <is>
          <t>Robustness to adversarial &amp; edge-case inputs</t>
        </is>
      </c>
      <c r="C10" s="28" t="inlineStr">
        <is>
          <t>Classic ML</t>
        </is>
      </c>
      <c r="D10" s="12" t="inlineStr">
        <is>
          <t>Small perturbations or rare tail inputs flip outputs; the model is brittle exactly where stakes are high and data is thin.</t>
        </is>
      </c>
      <c r="E10" s="12" t="inlineStr">
        <is>
          <t>Adversarial perturbation attacks; boundary &amp; edge-case generation; extreme-value and tail-scenario inputs; input fuzzing; stress at operating-range limits.</t>
        </is>
      </c>
      <c r="F10" s="12" t="inlineStr">
        <is>
          <t>NIST MEASURE 2.6, 2.7  |  ISO A.6.2.4  |  MAS M3.6</t>
        </is>
      </c>
      <c r="G10" s="12" t="inlineStr">
        <is>
          <t>Model Risk + Data Sci</t>
        </is>
      </c>
      <c r="H10" s="28" t="inlineStr">
        <is>
          <t>Quarterly</t>
        </is>
      </c>
      <c r="I10" s="28" t="n"/>
      <c r="J10" s="28" t="inlineStr">
        <is>
          <t>Not run</t>
        </is>
      </c>
      <c r="K10" s="28" t="n"/>
      <c r="L10" s="28" t="n"/>
    </row>
    <row r="11" ht="91.5" customHeight="1" s="1">
      <c r="A11" s="36" t="n">
        <v>8</v>
      </c>
      <c r="B11" s="37" t="inlineStr">
        <is>
          <t>Third-party / foundation-model concentration &amp; dependency</t>
        </is>
      </c>
      <c r="C11" s="38" t="inlineStr">
        <is>
          <t>Cross-cutting</t>
        </is>
      </c>
      <c r="D11" s="39" t="inlineStr">
        <is>
          <t>Vendor model version change, API outage, or silent behaviour shift breaks downstream systems; single-provider reliance creates concentration risk.</t>
        </is>
      </c>
      <c r="E11" s="39" t="inlineStr">
        <is>
          <t>Model-swap regression; version-pin drift tests; vendor outage/failover scenarios; behaviour-change detection on upgrades; concentration scenario analysis.</t>
        </is>
      </c>
      <c r="F11" s="39" t="inlineStr">
        <is>
          <t>NIST GOVERN 6.2, MANAGE 3.1, 3.2  |  ISO A.10.3  |  MAS M3.14, M3.15</t>
        </is>
      </c>
      <c r="G11" s="39" t="inlineStr">
        <is>
          <t>AI Risk + InfoSec</t>
        </is>
      </c>
      <c r="H11" s="38" t="inlineStr">
        <is>
          <t>Semi-annual</t>
        </is>
      </c>
      <c r="I11" s="38" t="n"/>
      <c r="J11" s="38" t="inlineStr">
        <is>
          <t>Not run</t>
        </is>
      </c>
      <c r="K11" s="38" t="n"/>
      <c r="L11" s="38" t="n"/>
    </row>
    <row r="12" ht="91.5" customHeight="1" s="1">
      <c r="A12" s="35" t="n">
        <v>9</v>
      </c>
      <c r="B12" s="11" t="inlineStr">
        <is>
          <t>Human oversight failure &amp; automation bias</t>
        </is>
      </c>
      <c r="C12" s="28" t="inlineStr">
        <is>
          <t>Cross-cutting</t>
        </is>
      </c>
      <c r="D12" s="12" t="inlineStr">
        <is>
          <t>Reviewers rubber-stamp AI outputs, override mechanisms go unused, and escalation paths break — oversight exists on paper but not in practice.</t>
        </is>
      </c>
      <c r="E12" s="12" t="inlineStr">
        <is>
          <t>Override-rate analysis; seeded-error detection (does the reviewer catch a planted wrong output?); escalation drills; oversight-effectiveness review.</t>
        </is>
      </c>
      <c r="F12" s="12" t="inlineStr">
        <is>
          <t>NIST GOVERN 3.2, MAP 3.5  |  ISO A.9.2, A.9.3  |  MAS M3.4</t>
        </is>
      </c>
      <c r="G12" s="12" t="inlineStr">
        <is>
          <t>AI Risk + InfoSec</t>
        </is>
      </c>
      <c r="H12" s="28" t="inlineStr">
        <is>
          <t>Semi-annual</t>
        </is>
      </c>
      <c r="I12" s="28" t="n"/>
      <c r="J12" s="28" t="inlineStr">
        <is>
          <t>Not run</t>
        </is>
      </c>
      <c r="K12" s="28" t="n"/>
      <c r="L12" s="28" t="n"/>
    </row>
    <row r="13" ht="91.5" customHeight="1" s="1">
      <c r="A13" s="36" t="n">
        <v>10</v>
      </c>
      <c r="B13" s="37" t="inlineStr">
        <is>
          <t>Privacy: memorisation, re-identification &amp; inference</t>
        </is>
      </c>
      <c r="C13" s="38" t="inlineStr">
        <is>
          <t>Classic ML</t>
        </is>
      </c>
      <c r="D13" s="39" t="inlineStr">
        <is>
          <t>Model memorises and regurgitates training PII, or outputs enable re-identification or membership inference of individuals in the training set.</t>
        </is>
      </c>
      <c r="E13" s="39" t="inlineStr">
        <is>
          <t>Membership-inference attacks; training-data extraction probes; PII-leakage prompt suites; re-identification testing on aggregated outputs.</t>
        </is>
      </c>
      <c r="F13" s="39" t="inlineStr">
        <is>
          <t>NIST MEASURE 2.10  |  ISO A.7.2  |  MAS M3.1</t>
        </is>
      </c>
      <c r="G13" s="39" t="inlineStr">
        <is>
          <t>Model Risk + Data Sci</t>
        </is>
      </c>
      <c r="H13" s="38" t="inlineStr">
        <is>
          <t>Quarterly</t>
        </is>
      </c>
      <c r="I13" s="38" t="n"/>
      <c r="J13" s="38" t="inlineStr">
        <is>
          <t>Not run</t>
        </is>
      </c>
      <c r="K13" s="38" t="n"/>
      <c r="L13" s="38" t="n"/>
    </row>
    <row r="14" ht="91.5" customHeight="1" s="1">
      <c r="A14" s="35" t="n">
        <v>11</v>
      </c>
      <c r="B14" s="11" t="inlineStr">
        <is>
          <t>Disposition-engine latency &amp; fail-open</t>
        </is>
      </c>
      <c r="C14" s="28" t="inlineStr">
        <is>
          <t>SAFR / Runtime</t>
        </is>
      </c>
      <c r="D14" s="12" t="inlineStr">
        <is>
          <t>The runtime checkpoint adds latency that pressures teams to bypass it, or it fails open (lets actions through) under load or outage — so the control plane becomes a bottleneck or a silent gap at the point of action.</t>
        </is>
      </c>
      <c r="E14" s="12" t="inlineStr">
        <is>
          <t>Load/latency injection at the disposition engine under peak volumes; fail-open vs. fail-closed behaviour testing on checkpoint outage; chaos/failover drills on the runtime control plane; timeout and queue-backpressure handling tests.</t>
        </is>
      </c>
      <c r="F14" s="12" t="inlineStr">
        <is>
          <t>SAFR S2.1, S2.6  |  NIST MANAGE 2.4, MEASURE 2.7  |  ISO A.6, A.4  |  MAS M3.4</t>
        </is>
      </c>
      <c r="G14" s="12" t="inlineStr">
        <is>
          <t>InfoSec + Technology</t>
        </is>
      </c>
      <c r="H14" s="28" t="inlineStr">
        <is>
          <t>Quarterly + pre-release</t>
        </is>
      </c>
      <c r="I14" s="28" t="n"/>
      <c r="J14" s="28" t="inlineStr">
        <is>
          <t>Not run</t>
        </is>
      </c>
      <c r="K14" s="28" t="n"/>
      <c r="L14" s="28" t="n"/>
    </row>
    <row r="15" ht="91.5" customHeight="1" s="1">
      <c r="A15" s="35" t="n">
        <v>12</v>
      </c>
      <c r="B15" s="11" t="inlineStr">
        <is>
          <t>Audit-log tamper-evidence &amp; completeness</t>
        </is>
      </c>
      <c r="C15" s="28" t="inlineStr">
        <is>
          <t>SAFR / Runtime</t>
        </is>
      </c>
      <c r="D15" s="12" t="inlineStr">
        <is>
          <t>Governance records are incomplete, mutable or tamperable; gaps between executed actions and logged decisions break non-repudiation and leave actions unaccounted for at supervisory review.</t>
        </is>
      </c>
      <c r="E15" s="12" t="inlineStr">
        <is>
          <t>Tamper-attempt &amp; integrity-verification tests (append-only / hash-chain); log-completeness reconciliation vs. executed actions; timestamp / clock-manipulation tests; retention and retrievability drills for internal audit and MAS review.</t>
        </is>
      </c>
      <c r="F15" s="12" t="inlineStr">
        <is>
          <t>SAFR S3.1, S3.2, S3.4  |  NIST MEASURE 3.1, MANAGE 4.1  |  ISO A.9, A.8  |  MAS M3.15</t>
        </is>
      </c>
      <c r="G15" s="12" t="inlineStr">
        <is>
          <t>InfoSec + Internal Audit</t>
        </is>
      </c>
      <c r="H15" s="28" t="inlineStr">
        <is>
          <t>Semi-annual</t>
        </is>
      </c>
      <c r="I15" s="28" t="n"/>
      <c r="J15" s="28" t="inlineStr">
        <is>
          <t>Not run</t>
        </is>
      </c>
      <c r="K15" s="28" t="n"/>
      <c r="L15" s="28" t="n"/>
    </row>
    <row r="16" ht="91.5" customHeight="1" s="1">
      <c r="A16" s="35" t="n">
        <v>13</v>
      </c>
      <c r="B16" s="11" t="inlineStr">
        <is>
          <t>Mandate bypass &amp; stale controls-repository</t>
        </is>
      </c>
      <c r="C16" s="28" t="inlineStr">
        <is>
          <t>SAFR / Runtime</t>
        </is>
      </c>
      <c r="D16" s="12" t="inlineStr">
        <is>
          <t>An agent executes actions outside its granted mandate, or the controls repository is stale / misconfigured so thresholds and policies are not enforced at runtime.</t>
        </is>
      </c>
      <c r="E16" s="12" t="inlineStr">
        <is>
          <t>Out-of-mandate action injection (does the pre-execution check block it?); threshold-boundary probes; stale / rolled-back policy-version tests; privilege-escalation and mandate scope-creep chains.</t>
        </is>
      </c>
      <c r="F16" s="12" t="inlineStr">
        <is>
          <t>SAFR S1.2, S1.3, S1.4  |  NIST MANAGE 2.3, GOVERN 1.3  |  ISO A.9, A.2  |  MAS M3.4</t>
        </is>
      </c>
      <c r="G16" s="12" t="inlineStr">
        <is>
          <t>AI Risk + InfoSec</t>
        </is>
      </c>
      <c r="H16" s="28" t="inlineStr">
        <is>
          <t>Quarterly + pre-release</t>
        </is>
      </c>
      <c r="I16" s="28" t="n"/>
      <c r="J16" s="28" t="inlineStr">
        <is>
          <t>Not run</t>
        </is>
      </c>
      <c r="K16" s="28" t="n"/>
      <c r="L16" s="28" t="n"/>
    </row>
    <row r="17" ht="91.5" customHeight="1" s="1">
      <c r="A17" s="35" t="n">
        <v>14</v>
      </c>
      <c r="B17" s="11" t="inlineStr">
        <is>
          <t>Gateway coverage &amp; cross-system enforcement gaps</t>
        </is>
      </c>
      <c r="C17" s="28" t="inlineStr">
        <is>
          <t>SAFR / Runtime</t>
        </is>
      </c>
      <c r="D17" s="12" t="inlineStr">
        <is>
          <t>Agent actions route around the gateway or native embedding, or enforcement is inconsistent across downstream systems — leaving unchecked execution paths, including for third-party agents.</t>
        </is>
      </c>
      <c r="E17" s="12" t="inlineStr">
        <is>
          <t>Coverage / attack-surface mapping for actions that evade interception; direct-API and side-channel path tests; cross-system consistency checks (same mandate enforced everywhere); third-party / vendor agent path coverage.</t>
        </is>
      </c>
      <c r="F17" s="12" t="inlineStr">
        <is>
          <t>SAFR S4.2, S4.4, S4.5  |  NIST MANAGE 2.3, 3.1  |  ISO A.9, A.10  |  MAS M3.14</t>
        </is>
      </c>
      <c r="G17" s="12" t="inlineStr">
        <is>
          <t>InfoSec + Technology</t>
        </is>
      </c>
      <c r="H17" s="28" t="inlineStr">
        <is>
          <t>Semi-annual</t>
        </is>
      </c>
      <c r="I17" s="28" t="n"/>
      <c r="J17" s="28" t="inlineStr">
        <is>
          <t>Not run</t>
        </is>
      </c>
      <c r="K17" s="28" t="n"/>
      <c r="L17" s="28" t="n"/>
    </row>
  </sheetData>
  <autoFilter ref="A3:L13"/>
  <mergeCells count="1">
    <mergeCell ref="A1:K1"/>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8.xml><?xml version="1.0" encoding="utf-8"?>
<worksheet xmlns="http://schemas.openxmlformats.org/spreadsheetml/2006/main">
  <sheetPr filterMode="0">
    <outlinePr applyStyles="0" summaryBelow="1" summaryRight="1" showOutlineSymbols="1"/>
    <pageSetUpPr autoPageBreaks="1" fitToPage="0"/>
  </sheetPr>
  <dimension ref="B2:J37"/>
  <sheetViews>
    <sheetView showFormulas="0" showGridLines="0" showRowColHeaders="1" showZeros="1" rightToLeft="0" view="normal" topLeftCell="A1" zoomScale="100" workbookViewId="0">
      <selection activeCell="A1" activeCellId="0" sqref="A1"/>
    </sheetView>
  </sheetViews>
  <sheetFormatPr baseColWidth="8" defaultColWidth="8.6796875" defaultRowHeight="14.25"/>
  <cols>
    <col width="2" customWidth="1" style="1" min="1" max="1"/>
    <col width="18" customWidth="1" style="1" min="2" max="2"/>
    <col width="11" customWidth="1" style="1" min="3" max="3"/>
    <col width="12" customWidth="1" style="1" min="4" max="6"/>
    <col width="20" customWidth="1" style="1" min="7" max="7"/>
    <col width="8" customWidth="1" style="1" min="8" max="8"/>
    <col width="13" customWidth="1" style="1" min="9" max="9"/>
    <col width="15" customWidth="1" style="1" min="10" max="10"/>
  </cols>
  <sheetData>
    <row r="2" ht="18" customHeight="1" s="1">
      <c r="B2" s="41" t="inlineStr">
        <is>
          <t>AI Governance — Maturity &amp; Readiness Dashboard</t>
        </is>
      </c>
    </row>
    <row r="3" ht="15" customHeight="1" s="1">
      <c r="B3" s="42" t="inlineStr">
        <is>
          <t>Live roll-up of the control trackers. Update Status &amp; Maturity on each Control Library tab and these figures refresh automatically.</t>
        </is>
      </c>
    </row>
    <row r="5" ht="26.25" customHeight="1" s="1">
      <c r="B5" s="43" t="inlineStr">
        <is>
          <t>Framework</t>
        </is>
      </c>
      <c r="C5" s="43" t="inlineStr">
        <is>
          <t># Controls</t>
        </is>
      </c>
      <c r="D5" s="43" t="inlineStr">
        <is>
          <t>Not started</t>
        </is>
      </c>
      <c r="E5" s="43" t="inlineStr">
        <is>
          <t>In progress</t>
        </is>
      </c>
      <c r="F5" s="43" t="inlineStr">
        <is>
          <t>Implemented</t>
        </is>
      </c>
      <c r="G5" s="43" t="inlineStr">
        <is>
          <t>Operating effectively</t>
        </is>
      </c>
      <c r="H5" s="43" t="inlineStr">
        <is>
          <t>N/A</t>
        </is>
      </c>
      <c r="I5" s="43" t="inlineStr">
        <is>
          <t>Avg maturity</t>
        </is>
      </c>
      <c r="J5" s="43" t="inlineStr">
        <is>
          <t>% Implemented+</t>
        </is>
      </c>
    </row>
    <row r="6" ht="15" customHeight="1" s="1">
      <c r="B6" s="11" t="inlineStr">
        <is>
          <t>ISO 42001</t>
        </is>
      </c>
      <c r="C6" s="28" t="n">
        <v>38</v>
      </c>
      <c r="D6" s="28">
        <f>COUNTIF('Control Library - ISO 42001'!F4:F41,"Not started")</f>
        <v/>
      </c>
      <c r="E6" s="28">
        <f>COUNTIF('Control Library - ISO 42001'!F4:F41,"In progress")</f>
        <v/>
      </c>
      <c r="F6" s="28">
        <f>COUNTIF('Control Library - ISO 42001'!F4:F41,"Implemented")</f>
        <v/>
      </c>
      <c r="G6" s="28">
        <f>COUNTIF('Control Library - ISO 42001'!F4:F41,"Operating effectively")</f>
        <v/>
      </c>
      <c r="H6" s="28">
        <f>COUNTIF('Control Library - ISO 42001'!F4:F41,"Not applicable")</f>
        <v/>
      </c>
      <c r="I6" s="28">
        <f>IFERROR(ROUND(AVERAGE('Control Library - ISO 42001'!G4:G41),2),"-")</f>
        <v/>
      </c>
      <c r="J6" s="44">
        <f>IFERROR(ROUND((COUNTIF('Control Library - ISO 42001'!F4:F41,"Implemented")+COUNTIF('Control Library - ISO 42001'!F4:F41,"Operating effectively"))/(38-COUNTIF('Control Library - ISO 42001'!F4:F41,"Not applicable")),3),0)</f>
        <v/>
      </c>
    </row>
    <row r="7" ht="15" customHeight="1" s="1">
      <c r="B7" s="45" t="inlineStr">
        <is>
          <t>NIST AI RMF</t>
        </is>
      </c>
      <c r="C7" s="46" t="n">
        <v>72</v>
      </c>
      <c r="D7" s="46">
        <f>COUNTIF('Control Library - NIST AI RMF'!G4:G75,"Not started")</f>
        <v/>
      </c>
      <c r="E7" s="46">
        <f>COUNTIF('Control Library - NIST AI RMF'!G4:G75,"In progress")</f>
        <v/>
      </c>
      <c r="F7" s="46">
        <f>COUNTIF('Control Library - NIST AI RMF'!G4:G75,"Implemented")</f>
        <v/>
      </c>
      <c r="G7" s="46">
        <f>COUNTIF('Control Library - NIST AI RMF'!G4:G75,"Operating effectively")</f>
        <v/>
      </c>
      <c r="H7" s="46">
        <f>COUNTIF('Control Library - NIST AI RMF'!G4:G75,"Not applicable")</f>
        <v/>
      </c>
      <c r="I7" s="46">
        <f>IFERROR(ROUND(AVERAGE('Control Library - NIST AI RMF'!H4:H75),2),"-")</f>
        <v/>
      </c>
      <c r="J7" s="47">
        <f>IFERROR(ROUND((COUNTIF('Control Library - NIST AI RMF'!G4:G75,"Implemented")+COUNTIF('Control Library - NIST AI RMF'!G4:G75,"Operating effectively"))/(72-COUNTIF('Control Library - NIST AI RMF'!G4:G75,"Not applicable")),3),0)</f>
        <v/>
      </c>
    </row>
    <row r="8" ht="15" customHeight="1" s="1">
      <c r="B8" s="11" t="inlineStr">
        <is>
          <t>MAS</t>
        </is>
      </c>
      <c r="C8" s="28" t="n">
        <v>30</v>
      </c>
      <c r="D8" s="28">
        <f>COUNTIF('Control Library - MAS'!H4:H33,"Not started")</f>
        <v/>
      </c>
      <c r="E8" s="28">
        <f>COUNTIF('Control Library - MAS'!H4:H33,"In progress")</f>
        <v/>
      </c>
      <c r="F8" s="28">
        <f>COUNTIF('Control Library - MAS'!H4:H33,"Implemented")</f>
        <v/>
      </c>
      <c r="G8" s="28">
        <f>COUNTIF('Control Library - MAS'!H4:H33,"Operating effectively")</f>
        <v/>
      </c>
      <c r="H8" s="28">
        <f>COUNTIF('Control Library - MAS'!H4:H33,"Not applicable")</f>
        <v/>
      </c>
      <c r="I8" s="28">
        <f>IFERROR(ROUND(AVERAGE('Control Library - MAS'!I4:I33),2),"-")</f>
        <v/>
      </c>
      <c r="J8" s="44">
        <f>IFERROR(ROUND((COUNTIF('Control Library - MAS'!H4:H33,"Implemented")+COUNTIF('Control Library - MAS'!H4:H33,"Operating effectively"))/(30-COUNTIF('Control Library - MAS'!H4:H33,"Not applicable")),3),0)</f>
        <v/>
      </c>
    </row>
    <row r="9" ht="15" customHeight="1" s="1">
      <c r="B9" s="11" t="inlineStr">
        <is>
          <t>IMDA MGF Agentic</t>
        </is>
      </c>
      <c r="C9" s="28" t="n">
        <v>34</v>
      </c>
      <c r="D9" s="28">
        <f>COUNTIF('Control Library - MGF Agentic'!I4:I37,"Not started")</f>
        <v/>
      </c>
      <c r="E9" s="28">
        <f>COUNTIF('Control Library - MGF Agentic'!I4:I37,"In progress")</f>
        <v/>
      </c>
      <c r="F9" s="28">
        <f>COUNTIF('Control Library - MGF Agentic'!I4:I37,"Implemented")</f>
        <v/>
      </c>
      <c r="G9" s="28">
        <f>COUNTIF('Control Library - MGF Agentic'!I4:I37,"Operating effectively")</f>
        <v/>
      </c>
      <c r="H9" s="28">
        <f>COUNTIF('Control Library - MGF Agentic'!I4:I37,"Not applicable")</f>
        <v/>
      </c>
      <c r="I9" s="28">
        <f>IFERROR(ROUND(AVERAGE('Control Library - MGF Agentic'!J4:J37),2),"-")</f>
        <v/>
      </c>
      <c r="J9" s="28">
        <f>IFERROR(ROUND((COUNTIF('Control Library - MGF Agentic'!I4:I37,"Implemented")+COUNTIF('Control Library - MGF Agentic'!I4:I37,"Operating effectively"))/(34-COUNTIF('Control Library - MGF Agentic'!I4:I37,"Not applicable")),3),0)</f>
        <v/>
      </c>
    </row>
    <row r="10" ht="15" customHeight="1" s="1">
      <c r="B10" s="11" t="inlineStr">
        <is>
          <t>SAFR (Runtime)</t>
        </is>
      </c>
      <c r="C10" s="28" t="n">
        <v>21</v>
      </c>
      <c r="D10" s="28">
        <f>COUNTIF('Control Library - SAFR'!I4:I24,"Not started")</f>
        <v/>
      </c>
      <c r="E10" s="28">
        <f>COUNTIF('Control Library - SAFR'!I4:I24,"In progress")</f>
        <v/>
      </c>
      <c r="F10" s="28">
        <f>COUNTIF('Control Library - SAFR'!I4:I24,"Implemented")</f>
        <v/>
      </c>
      <c r="G10" s="28">
        <f>COUNTIF('Control Library - SAFR'!I4:I24,"Operating effectively")</f>
        <v/>
      </c>
      <c r="H10" s="28">
        <f>COUNTIF('Control Library - SAFR'!I4:I24,"Not applicable")</f>
        <v/>
      </c>
      <c r="I10" s="28">
        <f>IFERROR(ROUND(AVERAGE('Control Library - SAFR'!J4:J24),2),"-")</f>
        <v/>
      </c>
      <c r="J10" s="28">
        <f>IFERROR(ROUND((COUNTIF('Control Library - SAFR'!I4:I24,"Implemented")+COUNTIF('Control Library - SAFR'!I4:I24,"Operating effectively"))/(C10-COUNTIF('Control Library - SAFR'!I4:I24,"Not applicable")),3),0)</f>
        <v/>
      </c>
    </row>
    <row r="11" ht="14.25" customHeight="1" s="1">
      <c r="B11" s="48" t="inlineStr">
        <is>
          <t>TOTAL</t>
        </is>
      </c>
      <c r="C11" s="49">
        <f>SUM(C6:C10)</f>
        <v/>
      </c>
      <c r="D11" s="49">
        <f>SUM(D6:D10)</f>
        <v/>
      </c>
      <c r="E11" s="49">
        <f>SUM(E6:E10)</f>
        <v/>
      </c>
      <c r="F11" s="49">
        <f>SUM(F6:F10)</f>
        <v/>
      </c>
      <c r="G11" s="49">
        <f>SUM(G6:G10)</f>
        <v/>
      </c>
      <c r="H11" s="49">
        <f>SUM(H6:H10)</f>
        <v/>
      </c>
      <c r="I11" s="49">
        <f>IFERROR(ROUND(AVERAGE(I6:I10),2),"-")</f>
        <v/>
      </c>
      <c r="J11" s="50">
        <f>IFERROR((F11+G11)/(C11-H11),0)</f>
        <v/>
      </c>
    </row>
    <row r="12" ht="15" customHeight="1" s="1"/>
    <row r="13" ht="15" customHeight="1" s="1">
      <c r="B13" s="51" t="inlineStr">
        <is>
          <t>Status values</t>
        </is>
      </c>
    </row>
    <row r="14" ht="15" customHeight="1" s="1">
      <c r="B14" s="26" t="inlineStr">
        <is>
          <t>Not started / In progress / Implemented / Operating effectively / Not applicable</t>
        </is>
      </c>
    </row>
    <row r="15" ht="15" customHeight="1" s="1">
      <c r="B15" s="51" t="inlineStr">
        <is>
          <t>Maturity scale</t>
        </is>
      </c>
    </row>
    <row r="16" ht="15" customHeight="1" s="1">
      <c r="B16" s="26" t="inlineStr">
        <is>
          <t>1 Initial  •  2 Developing  •  3 Defined  •  4 Managed  •  5 Optimised</t>
        </is>
      </c>
    </row>
    <row r="17" ht="14.25" customHeight="1" s="1">
      <c r="B17" s="52" t="inlineStr">
        <is>
          <t>% Implemented+ = (Implemented + Operating effectively) / (controls excluding N/A)</t>
        </is>
      </c>
    </row>
    <row r="18" ht="15" customHeight="1" s="1"/>
    <row r="19" ht="15" customHeight="1" s="1">
      <c r="B19" s="53" t="inlineStr">
        <is>
          <t>FEAT OPERATIONALISATION</t>
        </is>
      </c>
      <c r="C19" s="87" t="n"/>
      <c r="D19" s="87" t="n"/>
      <c r="E19" s="87" t="n"/>
      <c r="F19" s="54" t="n"/>
    </row>
    <row r="20" ht="27" customHeight="1" s="1">
      <c r="B20" s="55" t="inlineStr">
        <is>
          <t>All four FEAT principles assessed, evidenced (Veritas) and triggered by the plays. Principles operationalised:</t>
        </is>
      </c>
      <c r="F20" s="56">
        <f>COUNTIF('Control Library - MAS'!H30:H33,"&lt;&gt;Not started")&amp;" / 4"</f>
        <v/>
      </c>
    </row>
    <row r="21" ht="15" customHeight="1" s="1">
      <c r="B21" s="57" t="inlineStr">
        <is>
          <t>Principle</t>
        </is>
      </c>
      <c r="C21" s="57" t="inlineStr">
        <is>
          <t>Status (live)</t>
        </is>
      </c>
      <c r="D21" s="57" t="inlineStr">
        <is>
          <t>Triggered in plays</t>
        </is>
      </c>
      <c r="E21" s="57" t="inlineStr">
        <is>
          <t>Evidence (Veritas)</t>
        </is>
      </c>
      <c r="F21" s="57" t="inlineStr">
        <is>
          <t>Review cadence</t>
        </is>
      </c>
    </row>
    <row r="22" ht="15" customHeight="1" s="1">
      <c r="B22" s="58" t="inlineStr">
        <is>
          <t>Fairness (F1)</t>
        </is>
      </c>
      <c r="C22" s="59">
        <f>'Control Library - MAS'!H30</f>
        <v/>
      </c>
      <c r="D22" s="59" t="inlineStr">
        <is>
          <t>2, 3, 4, 5, 8</t>
        </is>
      </c>
      <c r="E22" s="60" t="inlineStr">
        <is>
          <t>Doc 3A — Fairness Report</t>
        </is>
      </c>
      <c r="F22" s="59" t="inlineStr">
        <is>
          <t>Annual + drift</t>
        </is>
      </c>
    </row>
    <row r="23" ht="15" customHeight="1" s="1">
      <c r="B23" s="58" t="inlineStr">
        <is>
          <t>Ethics (F2)</t>
        </is>
      </c>
      <c r="C23" s="59">
        <f>'Control Library - MAS'!H31</f>
        <v/>
      </c>
      <c r="D23" s="59" t="inlineStr">
        <is>
          <t>2, 4, 8</t>
        </is>
      </c>
      <c r="E23" s="60" t="inlineStr">
        <is>
          <t>Doc 3B — Ethics attestation</t>
        </is>
      </c>
      <c r="F23" s="59" t="inlineStr">
        <is>
          <t>Annual</t>
        </is>
      </c>
    </row>
    <row r="24" ht="15" customHeight="1" s="1">
      <c r="B24" s="58" t="inlineStr">
        <is>
          <t>Accountability (F3)</t>
        </is>
      </c>
      <c r="C24" s="59">
        <f>'Control Library - MAS'!H32</f>
        <v/>
      </c>
      <c r="D24" s="59" t="inlineStr">
        <is>
          <t>2, 4, 8</t>
        </is>
      </c>
      <c r="E24" s="60" t="inlineStr">
        <is>
          <t>Doc 3B — Accountability matrix</t>
        </is>
      </c>
      <c r="F24" s="59" t="inlineStr">
        <is>
          <t>Annual</t>
        </is>
      </c>
    </row>
    <row r="25" ht="15" customHeight="1" s="1">
      <c r="B25" s="58" t="inlineStr">
        <is>
          <t>Transparency (F4)</t>
        </is>
      </c>
      <c r="C25" s="59">
        <f>'Control Library - MAS'!H33</f>
        <v/>
      </c>
      <c r="D25" s="59" t="inlineStr">
        <is>
          <t>2, 3, 4, 5, 8</t>
        </is>
      </c>
    </row>
    <row r="26" ht="14.25" customHeight="1" s="1">
      <c r="B26" s="61" t="inlineStr">
        <is>
          <t>Methodology: FEAT Assessment Methodology (Veritas-aligned) — §A Fairness, §B Ethics &amp; Accountability, §C Transparency, §D high-materiality validation.</t>
        </is>
      </c>
    </row>
    <row r="28">
      <c r="B28" s="53" t="inlineStr">
        <is>
          <t>ASSURANCE TESTING — TEST OF DESIGN &amp; OPERATING EFFECTIVENESS</t>
        </is>
      </c>
      <c r="C28" s="87" t="n"/>
      <c r="D28" s="87" t="n"/>
      <c r="E28" s="87" t="n"/>
      <c r="F28" s="87" t="n"/>
      <c r="G28" s="87" t="n"/>
      <c r="H28" s="87" t="n"/>
    </row>
    <row r="29">
      <c r="B29" s="43" t="inlineStr">
        <is>
          <t>Framework</t>
        </is>
      </c>
      <c r="C29" s="43" t="inlineStr">
        <is>
          <t>Design assessed</t>
        </is>
      </c>
      <c r="D29" s="43" t="inlineStr">
        <is>
          <t>Design adequate</t>
        </is>
      </c>
      <c r="E29" s="43" t="inlineStr">
        <is>
          <t>% design adequate</t>
        </is>
      </c>
      <c r="F29" s="43" t="inlineStr">
        <is>
          <t>Operating assessed</t>
        </is>
      </c>
      <c r="G29" s="43" t="inlineStr">
        <is>
          <t>Operating effective</t>
        </is>
      </c>
      <c r="H29" s="43" t="inlineStr">
        <is>
          <t>% operating effective</t>
        </is>
      </c>
    </row>
    <row r="30">
      <c r="B30" s="11" t="inlineStr">
        <is>
          <t>ISO 42001</t>
        </is>
      </c>
      <c r="C30" s="28">
        <f>COUNTIF('Control Library - ISO 42001'!M4:M41,"Adequate")+COUNTIF('Control Library - ISO 42001'!M4:M41,"Partially adequate")+COUNTIF('Control Library - ISO 42001'!M4:M41,"Inadequate")</f>
        <v/>
      </c>
      <c r="D30" s="28">
        <f>COUNTIF('Control Library - ISO 42001'!M4:M41,"Adequate")</f>
        <v/>
      </c>
      <c r="E30" s="44">
        <f>IFERROR(D30/C30,0)</f>
        <v/>
      </c>
      <c r="F30" s="28">
        <f>COUNTIF('Control Library - ISO 42001'!N4:N41,"Effective")+COUNTIF('Control Library - ISO 42001'!N4:N41,"Partially effective")+COUNTIF('Control Library - ISO 42001'!N4:N41,"Ineffective")</f>
        <v/>
      </c>
      <c r="G30" s="28">
        <f>COUNTIF('Control Library - ISO 42001'!N4:N41,"Effective")</f>
        <v/>
      </c>
      <c r="H30" s="44">
        <f>IFERROR(G30/F30,0)</f>
        <v/>
      </c>
    </row>
    <row r="31">
      <c r="B31" s="11" t="inlineStr">
        <is>
          <t>NIST AI RMF</t>
        </is>
      </c>
      <c r="C31" s="28">
        <f>COUNTIF('Control Library - NIST AI RMF'!N4:N75,"Adequate")+COUNTIF('Control Library - NIST AI RMF'!N4:N75,"Partially adequate")+COUNTIF('Control Library - NIST AI RMF'!N4:N75,"Inadequate")</f>
        <v/>
      </c>
      <c r="D31" s="28">
        <f>COUNTIF('Control Library - NIST AI RMF'!N4:N75,"Adequate")</f>
        <v/>
      </c>
      <c r="E31" s="44">
        <f>IFERROR(D31/C31,0)</f>
        <v/>
      </c>
      <c r="F31" s="28">
        <f>COUNTIF('Control Library - NIST AI RMF'!O4:O75,"Effective")+COUNTIF('Control Library - NIST AI RMF'!O4:O75,"Partially effective")+COUNTIF('Control Library - NIST AI RMF'!O4:O75,"Ineffective")</f>
        <v/>
      </c>
      <c r="G31" s="28">
        <f>COUNTIF('Control Library - NIST AI RMF'!O4:O75,"Effective")</f>
        <v/>
      </c>
      <c r="H31" s="44">
        <f>IFERROR(G31/F31,0)</f>
        <v/>
      </c>
    </row>
    <row r="32">
      <c r="B32" s="11" t="inlineStr">
        <is>
          <t>MAS</t>
        </is>
      </c>
      <c r="C32" s="28">
        <f>COUNTIF('Control Library - MAS'!P4:P33,"Adequate")+COUNTIF('Control Library - MAS'!P4:P33,"Partially adequate")+COUNTIF('Control Library - MAS'!P4:P33,"Inadequate")</f>
        <v/>
      </c>
      <c r="D32" s="28">
        <f>COUNTIF('Control Library - MAS'!P4:P33,"Adequate")</f>
        <v/>
      </c>
      <c r="E32" s="44">
        <f>IFERROR(D32/C32,0)</f>
        <v/>
      </c>
      <c r="F32" s="28">
        <f>COUNTIF('Control Library - MAS'!Q4:Q33,"Effective")+COUNTIF('Control Library - MAS'!Q4:Q33,"Partially effective")+COUNTIF('Control Library - MAS'!Q4:Q33,"Ineffective")</f>
        <v/>
      </c>
      <c r="G32" s="28">
        <f>COUNTIF('Control Library - MAS'!Q4:Q33,"Effective")</f>
        <v/>
      </c>
      <c r="H32" s="44">
        <f>IFERROR(G32/F32,0)</f>
        <v/>
      </c>
    </row>
    <row r="33">
      <c r="B33" s="11" t="inlineStr">
        <is>
          <t>IMDA MGF Agentic</t>
        </is>
      </c>
      <c r="C33" s="28">
        <f>COUNTIF('Control Library - MGF Agentic'!S4:S37,"Adequate")+COUNTIF('Control Library - MGF Agentic'!S4:S37,"Partially adequate")+COUNTIF('Control Library - MGF Agentic'!S4:S37,"Inadequate")</f>
        <v/>
      </c>
      <c r="D33" s="28">
        <f>COUNTIF('Control Library - MGF Agentic'!S4:S37,"Adequate")</f>
        <v/>
      </c>
      <c r="E33" s="44">
        <f>IFERROR(D33/C33,0)</f>
        <v/>
      </c>
      <c r="F33" s="28">
        <f>COUNTIF('Control Library - MGF Agentic'!T4:T37,"Effective")+COUNTIF('Control Library - MGF Agentic'!T4:T37,"Partially effective")+COUNTIF('Control Library - MGF Agentic'!T4:T37,"Ineffective")</f>
        <v/>
      </c>
      <c r="G33" s="28">
        <f>COUNTIF('Control Library - MGF Agentic'!T4:T37,"Effective")</f>
        <v/>
      </c>
      <c r="H33" s="44">
        <f>IFERROR(G33/F33,0)</f>
        <v/>
      </c>
    </row>
    <row r="34">
      <c r="B34" s="11" t="inlineStr">
        <is>
          <t>SAFR (Runtime)</t>
        </is>
      </c>
      <c r="C34" s="28">
        <f>COUNTIF('Control Library - SAFR'!T4:T24,"Adequate")+COUNTIF('Control Library - SAFR'!T4:T24,"Partially adequate")+COUNTIF('Control Library - SAFR'!T4:T24,"Inadequate")</f>
        <v/>
      </c>
      <c r="D34" s="28">
        <f>COUNTIF('Control Library - SAFR'!T4:T24,"Adequate")</f>
        <v/>
      </c>
      <c r="E34" s="44">
        <f>IFERROR(D34/C34,0)</f>
        <v/>
      </c>
      <c r="F34" s="28">
        <f>COUNTIF('Control Library - SAFR'!U4:U24,"Effective")+COUNTIF('Control Library - SAFR'!U4:U24,"Partially effective")+COUNTIF('Control Library - SAFR'!U4:U24,"Ineffective")</f>
        <v/>
      </c>
      <c r="G34" s="28">
        <f>COUNTIF('Control Library - SAFR'!U4:U24,"Effective")</f>
        <v/>
      </c>
      <c r="H34" s="44">
        <f>IFERROR(G34/F34,0)</f>
        <v/>
      </c>
    </row>
    <row r="35">
      <c r="B35" s="48" t="inlineStr">
        <is>
          <t>TOTAL</t>
        </is>
      </c>
      <c r="C35" s="49">
        <f>SUM(C30:C34)</f>
        <v/>
      </c>
      <c r="D35" s="49">
        <f>SUM(D30:D34)</f>
        <v/>
      </c>
      <c r="E35" s="44">
        <f>IFERROR(D35/C35,0)</f>
        <v/>
      </c>
      <c r="F35" s="49">
        <f>SUM(F30:F34)</f>
        <v/>
      </c>
      <c r="G35" s="49">
        <f>SUM(G30:G34)</f>
        <v/>
      </c>
      <c r="H35" s="44">
        <f>IFERROR(G35/F35,0)</f>
        <v/>
      </c>
    </row>
    <row r="37">
      <c r="B37" s="51" t="inlineStr">
        <is>
          <t>Test of Design conclusions: Not tested / Adequate / Partially adequate / Inadequate / Not applicable.   Test of Operating Effectiveness: Not tested / Effective / Partially effective / Ineffective / Not applicable.   % columns are of the assessed (tested) population.   ToD is the evidentiary basis for an 'Implemented' status; ToE for 'Operating effectively'.</t>
        </is>
      </c>
    </row>
  </sheetData>
  <mergeCells count="6">
    <mergeCell ref="B19:E19"/>
    <mergeCell ref="B26:F26"/>
    <mergeCell ref="B3:H3"/>
    <mergeCell ref="B37:H37"/>
    <mergeCell ref="B18:F18"/>
    <mergeCell ref="B28:H28"/>
  </mergeCells>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9.xml><?xml version="1.0" encoding="utf-8"?>
<worksheet xmlns="http://schemas.openxmlformats.org/spreadsheetml/2006/main">
  <sheetPr filterMode="0">
    <outlinePr applyStyles="0" summaryBelow="1" summaryRight="1" showOutlineSymbols="1"/>
    <pageSetUpPr autoPageBreaks="1" fitToPage="0"/>
  </sheetPr>
  <dimension ref="A1:U39"/>
  <sheetViews>
    <sheetView showFormulas="0" showGridLines="0" showRowColHeaders="1" showZeros="1" rightToLeft="0" view="normal" topLeftCell="A1" zoomScale="100" workbookViewId="0">
      <pane xSplit="2" ySplit="3" topLeftCell="C4" activePane="bottomRight" state="frozen"/>
      <selection activeCell="A1" activeCellId="0" sqref="A1"/>
    </sheetView>
  </sheetViews>
  <sheetFormatPr baseColWidth="8" defaultColWidth="8.6796875" defaultRowHeight="15"/>
  <cols>
    <col width="20" customWidth="1" style="1" min="1" max="1"/>
    <col width="12" customWidth="1" style="1" min="2" max="2"/>
    <col width="30" customWidth="1" style="1" min="3" max="4"/>
    <col width="24" customWidth="1" style="1" min="5" max="7"/>
    <col width="16" customWidth="1" style="1" min="8" max="8"/>
    <col width="11" customWidth="1" style="1" min="9" max="9"/>
    <col width="20" customWidth="1" style="1" min="10" max="10"/>
    <col width="13" customWidth="1" style="1" min="11" max="12"/>
    <col width="24" customWidth="1" style="1" min="13" max="13"/>
    <col width="9" customWidth="1" style="1" min="14" max="14"/>
    <col width="11" customWidth="1" style="1" min="15" max="15"/>
    <col width="16" customWidth="1" style="1" min="16" max="16"/>
    <col width="30" customWidth="1" style="1" min="17" max="17"/>
    <col width="24" customWidth="1" style="1" min="19" max="19"/>
    <col width="30" customWidth="1" style="1" min="20" max="20"/>
    <col width="26" customWidth="1" style="1" min="21" max="21"/>
  </cols>
  <sheetData>
    <row r="1" ht="15.75" customHeight="1" s="1">
      <c r="A1" s="62" t="inlineStr">
        <is>
          <t>Control Library - IMDA MGF for Agentic AI — Control Tracker</t>
        </is>
      </c>
    </row>
    <row r="3" ht="34.5" customHeight="1" s="1">
      <c r="A3" s="63" t="inlineStr">
        <is>
          <t>Dimension</t>
        </is>
      </c>
      <c r="B3" s="63" t="inlineStr">
        <is>
          <t>MGF Control ID</t>
        </is>
      </c>
      <c r="C3" s="63" t="inlineStr">
        <is>
          <t>Control / Recommended Measure</t>
        </is>
      </c>
      <c r="D3" s="63" t="inlineStr">
        <is>
          <t>Objective — what it bounds</t>
        </is>
      </c>
      <c r="E3" s="63" t="inlineStr">
        <is>
          <t>MAS AIRG theme</t>
        </is>
      </c>
      <c r="F3" s="63" t="inlineStr">
        <is>
          <t>ISO/IEC 42001 Annex A</t>
        </is>
      </c>
      <c r="G3" s="63" t="inlineStr">
        <is>
          <t>NIST AI RMF</t>
        </is>
      </c>
      <c r="H3" s="63" t="inlineStr">
        <is>
          <t>Owner (role)</t>
        </is>
      </c>
      <c r="I3" s="63" t="inlineStr">
        <is>
          <t>Status</t>
        </is>
      </c>
      <c r="J3" s="63" t="inlineStr">
        <is>
          <t>Maturity (1-5)</t>
        </is>
      </c>
      <c r="K3" s="63" t="inlineStr">
        <is>
          <t>Evidence / artifact</t>
        </is>
      </c>
      <c r="L3" s="63" t="inlineStr">
        <is>
          <t>Last reviewed</t>
        </is>
      </c>
      <c r="M3" s="63" t="inlineStr">
        <is>
          <t>Next review</t>
        </is>
      </c>
      <c r="N3" s="63" t="inlineStr">
        <is>
          <t>Gap / notes</t>
        </is>
      </c>
      <c r="O3" s="63" t="inlineStr">
        <is>
          <t>Weight (1-5)</t>
        </is>
      </c>
      <c r="P3" s="63" t="inlineStr">
        <is>
          <t>Weighted maturity</t>
        </is>
      </c>
      <c r="Q3" s="63" t="inlineStr">
        <is>
          <t>Linked play</t>
        </is>
      </c>
      <c r="R3" s="63" t="inlineStr">
        <is>
          <t>Linked MAS | SAFR</t>
        </is>
      </c>
      <c r="S3" s="63" t="inlineStr">
        <is>
          <t>Test of Design</t>
        </is>
      </c>
      <c r="T3" s="63" t="inlineStr">
        <is>
          <t>Test of Operating Effectiveness</t>
        </is>
      </c>
      <c r="U3" s="63" t="inlineStr">
        <is>
          <t>Linked CSA PA</t>
        </is>
      </c>
    </row>
    <row r="4" ht="39.75" customHeight="1" s="1">
      <c r="A4" s="64" t="inlineStr">
        <is>
          <t>D1 Bound risk</t>
        </is>
      </c>
      <c r="B4" s="65" t="inlineStr">
        <is>
          <t>D1.1</t>
        </is>
      </c>
      <c r="C4" s="66" t="inlineStr">
        <is>
          <t>Use-case suitability assessment</t>
        </is>
      </c>
      <c r="D4" s="66" t="inlineStr">
        <is>
          <t>Stop agents being deployed in unsuitable / high-impact contexts</t>
        </is>
      </c>
      <c r="E4" s="66" t="inlineStr">
        <is>
          <t>AI Inventory &amp; Materiality</t>
        </is>
      </c>
      <c r="F4" s="66" t="inlineStr">
        <is>
          <t>A.5 Impact assessment</t>
        </is>
      </c>
      <c r="G4" s="66" t="inlineStr">
        <is>
          <t>MAP 1.1, 1.6</t>
        </is>
      </c>
      <c r="H4" s="66" t="inlineStr">
        <is>
          <t>AI Risk (2nd line) / Model Owner</t>
        </is>
      </c>
      <c r="I4" s="66" t="inlineStr">
        <is>
          <t>Not started</t>
        </is>
      </c>
      <c r="J4" s="67" t="n"/>
      <c r="K4" s="66" t="n"/>
      <c r="L4" s="66" t="n"/>
      <c r="M4" s="66" t="n"/>
      <c r="N4" s="66" t="n"/>
      <c r="O4" s="67" t="n">
        <v>5</v>
      </c>
      <c r="P4" s="67">
        <f>IF(J4="","",O4*J4)</f>
        <v/>
      </c>
      <c r="Q4" s="66" t="inlineStr">
        <is>
          <t>Play 1, 2</t>
        </is>
      </c>
      <c r="R4" s="66" t="inlineStr">
        <is>
          <t>MAS M2.3 | SAFR S1.5</t>
        </is>
      </c>
      <c r="S4" s="66" t="n"/>
      <c r="T4" s="66" t="n"/>
      <c r="U4" s="66" t="inlineStr">
        <is>
          <t>PA 7</t>
        </is>
      </c>
    </row>
    <row r="5" ht="39.75" customHeight="1" s="1">
      <c r="A5" s="64" t="inlineStr">
        <is>
          <t>D1 Bound risk</t>
        </is>
      </c>
      <c r="B5" s="65" t="inlineStr">
        <is>
          <t>D1.2  ★</t>
        </is>
      </c>
      <c r="C5" s="66" t="inlineStr">
        <is>
          <t>Tiered risk classification</t>
        </is>
      </c>
      <c r="D5" s="66" t="inlineStr">
        <is>
          <t>Right-size controls to the level of risk</t>
        </is>
      </c>
      <c r="E5" s="66" t="inlineStr">
        <is>
          <t>AI Inventory &amp; Materiality</t>
        </is>
      </c>
      <c r="F5" s="66" t="inlineStr">
        <is>
          <t>A.5 Impact assessment</t>
        </is>
      </c>
      <c r="G5" s="66" t="inlineStr">
        <is>
          <t>MAP 1.5, 2.2</t>
        </is>
      </c>
      <c r="H5" s="66" t="inlineStr">
        <is>
          <t>AI Risk (2nd line) / Model Owner</t>
        </is>
      </c>
      <c r="I5" s="66" t="inlineStr">
        <is>
          <t>Not started</t>
        </is>
      </c>
      <c r="J5" s="67" t="n"/>
      <c r="K5" s="66" t="n"/>
      <c r="L5" s="66" t="n"/>
      <c r="M5" s="66" t="n"/>
      <c r="N5" s="66" t="n"/>
      <c r="O5" s="67" t="n">
        <v>4</v>
      </c>
      <c r="P5" s="67">
        <f>IF(J5="","",O5*J5)</f>
        <v/>
      </c>
      <c r="Q5" s="66" t="inlineStr">
        <is>
          <t>Play 1, 8</t>
        </is>
      </c>
      <c r="R5" s="66" t="inlineStr">
        <is>
          <t>MAS M2.3</t>
        </is>
      </c>
      <c r="S5" s="66" t="n"/>
      <c r="T5" s="66" t="n"/>
      <c r="U5" s="66" t="inlineStr">
        <is>
          <t>—</t>
        </is>
      </c>
    </row>
    <row r="6" ht="39.75" customHeight="1" s="1">
      <c r="A6" s="64" t="inlineStr">
        <is>
          <t>D1 Bound risk</t>
        </is>
      </c>
      <c r="B6" s="65" t="inlineStr">
        <is>
          <t>D1.3</t>
        </is>
      </c>
      <c r="C6" s="66" t="inlineStr">
        <is>
          <t>Define agent limits at design</t>
        </is>
      </c>
      <c r="D6" s="66" t="inlineStr">
        <is>
          <t>Cap the agent's blast radius before build</t>
        </is>
      </c>
      <c r="E6" s="66" t="inlineStr">
        <is>
          <t>Lifecycle: Development &amp; Validation</t>
        </is>
      </c>
      <c r="F6" s="66" t="inlineStr">
        <is>
          <t>A.6 AI system life cycle</t>
        </is>
      </c>
      <c r="G6" s="66" t="inlineStr">
        <is>
          <t>MAP 2.1; MANAGE 1.3</t>
        </is>
      </c>
      <c r="H6" s="66" t="inlineStr">
        <is>
          <t>AI Risk (2nd line) / Model Owner</t>
        </is>
      </c>
      <c r="I6" s="66" t="inlineStr">
        <is>
          <t>Not started</t>
        </is>
      </c>
      <c r="J6" s="67" t="n"/>
      <c r="K6" s="66" t="n"/>
      <c r="L6" s="66" t="n"/>
      <c r="M6" s="66" t="n"/>
      <c r="N6" s="66" t="n"/>
      <c r="O6" s="67" t="n">
        <v>5</v>
      </c>
      <c r="P6" s="67">
        <f>IF(J6="","",O6*J6)</f>
        <v/>
      </c>
      <c r="Q6" s="66" t="inlineStr">
        <is>
          <t>Play 3</t>
        </is>
      </c>
      <c r="R6" s="66" t="inlineStr">
        <is>
          <t>MAS M3.5 | SAFR S1.2</t>
        </is>
      </c>
      <c r="S6" s="66" t="n"/>
      <c r="T6" s="66" t="n"/>
      <c r="U6" s="66" t="inlineStr">
        <is>
          <t>PA 3</t>
        </is>
      </c>
    </row>
    <row r="7" ht="39.75" customHeight="1" s="1">
      <c r="A7" s="64" t="inlineStr">
        <is>
          <t>D1 Bound risk</t>
        </is>
      </c>
      <c r="B7" s="65" t="inlineStr">
        <is>
          <t>D1.4</t>
        </is>
      </c>
      <c r="C7" s="66" t="inlineStr">
        <is>
          <t>Least-privilege access (scoping)</t>
        </is>
      </c>
      <c r="D7" s="66" t="inlineStr">
        <is>
          <t>Limit reachable systems and data</t>
        </is>
      </c>
      <c r="E7" s="66" t="inlineStr">
        <is>
          <t>Lifecycle: Development &amp; Validation</t>
        </is>
      </c>
      <c r="F7" s="66" t="inlineStr">
        <is>
          <t>A.6 AI system life cycle</t>
        </is>
      </c>
      <c r="G7" s="66" t="inlineStr">
        <is>
          <t>MANAGE 2.3; MEASURE 2.7</t>
        </is>
      </c>
      <c r="H7" s="66" t="inlineStr">
        <is>
          <t>Model Developer / InfoSec</t>
        </is>
      </c>
      <c r="I7" s="66" t="inlineStr">
        <is>
          <t>Not started</t>
        </is>
      </c>
      <c r="J7" s="67" t="n"/>
      <c r="K7" s="66" t="n"/>
      <c r="L7" s="66" t="n"/>
      <c r="M7" s="66" t="n"/>
      <c r="N7" s="66" t="n"/>
      <c r="O7" s="67" t="n">
        <v>5</v>
      </c>
      <c r="P7" s="67">
        <f>IF(J7="","",O7*J7)</f>
        <v/>
      </c>
      <c r="Q7" s="66" t="inlineStr">
        <is>
          <t>Play 3</t>
        </is>
      </c>
      <c r="R7" s="66" t="inlineStr">
        <is>
          <t>MAS M3.5, M3.7 | SAFR S1.4</t>
        </is>
      </c>
      <c r="S7" s="66" t="n"/>
      <c r="T7" s="66" t="n"/>
      <c r="U7" s="66" t="inlineStr">
        <is>
          <t>PA 3</t>
        </is>
      </c>
    </row>
    <row r="8" ht="39.75" customHeight="1" s="1">
      <c r="A8" s="64" t="inlineStr">
        <is>
          <t>D1 Bound risk</t>
        </is>
      </c>
      <c r="B8" s="65" t="inlineStr">
        <is>
          <t>D1.5</t>
        </is>
      </c>
      <c r="C8" s="66" t="inlineStr">
        <is>
          <t>Agent identity management (identity card + authorisation trail)</t>
        </is>
      </c>
      <c r="D8" s="66" t="inlineStr">
        <is>
          <t>Give every agent a verifiable identity — capabilities, limits, authorised action domains and escalation — plus a trail of which agent acted under whose authority, so every action is attributable.</t>
        </is>
      </c>
      <c r="E8" s="66" t="inlineStr">
        <is>
          <t>Oversight &amp; Accountability</t>
        </is>
      </c>
      <c r="F8" s="66" t="inlineStr">
        <is>
          <t>A.3 Internal organisation</t>
        </is>
      </c>
      <c r="G8" s="66" t="inlineStr">
        <is>
          <t>GOVERN 2.1; MAP 1.1; MEASURE 3.1</t>
        </is>
      </c>
      <c r="H8" s="66" t="inlineStr">
        <is>
          <t>AI Risk (2nd line) / Model Owner</t>
        </is>
      </c>
      <c r="I8" s="66" t="inlineStr">
        <is>
          <t>Not started</t>
        </is>
      </c>
      <c r="J8" s="67" t="n"/>
      <c r="K8" s="66" t="n"/>
      <c r="L8" s="66" t="n"/>
      <c r="M8" s="66" t="n"/>
      <c r="N8" s="66" t="n"/>
      <c r="O8" s="67" t="n">
        <v>5</v>
      </c>
      <c r="P8" s="67">
        <f>IF(J8="","",O8*J8)</f>
        <v/>
      </c>
      <c r="Q8" s="66" t="inlineStr">
        <is>
          <t>Play 2, 7, 9</t>
        </is>
      </c>
      <c r="R8" s="66" t="inlineStr">
        <is>
          <t>MAS M3.8, F3 | SAFR S1.1, S3.3</t>
        </is>
      </c>
      <c r="S8" s="66" t="n"/>
      <c r="T8" s="66" t="n"/>
      <c r="U8" s="66" t="inlineStr">
        <is>
          <t>PA 3</t>
        </is>
      </c>
    </row>
    <row r="9" ht="39.75" customHeight="1" s="1">
      <c r="A9" s="64" t="inlineStr">
        <is>
          <t>D1 Bound risk</t>
        </is>
      </c>
      <c r="B9" s="65" t="inlineStr">
        <is>
          <t>D1.6  ★</t>
        </is>
      </c>
      <c r="C9" s="66" t="inlineStr">
        <is>
          <t>Third-party / multi-agent dependency review</t>
        </is>
      </c>
      <c r="D9" s="66" t="inlineStr">
        <is>
          <t>Bound risk inherited from external / peer agents</t>
        </is>
      </c>
      <c r="E9" s="66" t="inlineStr">
        <is>
          <t>Third-Party &amp; Reliance Risk</t>
        </is>
      </c>
      <c r="F9" s="66" t="inlineStr">
        <is>
          <t>A.10 Third-party relationships</t>
        </is>
      </c>
      <c r="G9" s="66" t="inlineStr">
        <is>
          <t>GOVERN 6.1; MANAGE 3.1</t>
        </is>
      </c>
      <c r="H9" s="66" t="inlineStr">
        <is>
          <t>AI Risk (2nd line) / Model Owner</t>
        </is>
      </c>
      <c r="I9" s="66" t="inlineStr">
        <is>
          <t>Not started</t>
        </is>
      </c>
      <c r="J9" s="67" t="n"/>
      <c r="K9" s="66" t="n"/>
      <c r="L9" s="66" t="n"/>
      <c r="M9" s="66" t="n"/>
      <c r="N9" s="66" t="n"/>
      <c r="O9" s="67" t="n">
        <v>4</v>
      </c>
      <c r="P9" s="67">
        <f>IF(J9="","",O9*J9)</f>
        <v/>
      </c>
      <c r="Q9" s="66" t="inlineStr">
        <is>
          <t>Play 1, 7</t>
        </is>
      </c>
      <c r="R9" s="66" t="inlineStr">
        <is>
          <t>MAS M3.14 | SAFR S4.4, S4.5</t>
        </is>
      </c>
      <c r="S9" s="66" t="n"/>
      <c r="T9" s="66" t="n"/>
      <c r="U9" s="66" t="inlineStr">
        <is>
          <t>PA 3, PA 7</t>
        </is>
      </c>
    </row>
    <row r="10" ht="39.75" customHeight="1" s="1">
      <c r="A10" s="68" t="inlineStr">
        <is>
          <t>D2 Human accountability</t>
        </is>
      </c>
      <c r="B10" s="65" t="inlineStr">
        <is>
          <t>D2.1</t>
        </is>
      </c>
      <c r="C10" s="66" t="inlineStr">
        <is>
          <t>Responsibility allocation across value chain</t>
        </is>
      </c>
      <c r="D10" s="66" t="inlineStr">
        <is>
          <t>Keep a named owner answerable for agent actions</t>
        </is>
      </c>
      <c r="E10" s="66" t="inlineStr">
        <is>
          <t>Oversight &amp; Accountability</t>
        </is>
      </c>
      <c r="F10" s="66" t="inlineStr">
        <is>
          <t>A.3 Internal organisation</t>
        </is>
      </c>
      <c r="G10" s="66" t="inlineStr">
        <is>
          <t>GOVERN 2.1, 2.3</t>
        </is>
      </c>
      <c r="H10" s="66" t="inlineStr">
        <is>
          <t>AI Risk Cttee / AI Risk (2nd line)</t>
        </is>
      </c>
      <c r="I10" s="66" t="inlineStr">
        <is>
          <t>Not started</t>
        </is>
      </c>
      <c r="J10" s="67" t="n"/>
      <c r="K10" s="66" t="n"/>
      <c r="L10" s="66" t="n"/>
      <c r="M10" s="66" t="n"/>
      <c r="N10" s="66" t="n"/>
      <c r="O10" s="67" t="n">
        <v>5</v>
      </c>
      <c r="P10" s="67">
        <f>IF(J10="","",O10*J10)</f>
        <v/>
      </c>
      <c r="Q10" s="66" t="inlineStr">
        <is>
          <t>Play 1, All</t>
        </is>
      </c>
      <c r="R10" s="66" t="inlineStr">
        <is>
          <t>MAS M1.1, F3 | SAFR S1.2</t>
        </is>
      </c>
      <c r="S10" s="66" t="n"/>
      <c r="T10" s="66" t="n"/>
      <c r="U10" s="66" t="inlineStr">
        <is>
          <t>PA 2</t>
        </is>
      </c>
    </row>
    <row r="11" ht="39.75" customHeight="1" s="1">
      <c r="A11" s="68" t="inlineStr">
        <is>
          <t>D2 Human accountability</t>
        </is>
      </c>
      <c r="B11" s="65" t="inlineStr">
        <is>
          <t>D2.2</t>
        </is>
      </c>
      <c r="C11" s="66" t="inlineStr">
        <is>
          <t>Adaptive governance</t>
        </is>
      </c>
      <c r="D11" s="66" t="inlineStr">
        <is>
          <t>Keep governance current with capability change</t>
        </is>
      </c>
      <c r="E11" s="66" t="inlineStr">
        <is>
          <t>Oversight &amp; Accountability</t>
        </is>
      </c>
      <c r="F11" s="66" t="inlineStr">
        <is>
          <t>A.6 AI system life cycle</t>
        </is>
      </c>
      <c r="G11" s="66" t="inlineStr">
        <is>
          <t>GOVERN 1.3, 4.3</t>
        </is>
      </c>
      <c r="H11" s="66" t="inlineStr">
        <is>
          <t>AI Risk Cttee / AI Risk (2nd line)</t>
        </is>
      </c>
      <c r="I11" s="66" t="inlineStr">
        <is>
          <t>Not started</t>
        </is>
      </c>
      <c r="J11" s="67" t="n"/>
      <c r="K11" s="66" t="n"/>
      <c r="L11" s="66" t="n"/>
      <c r="M11" s="66" t="n"/>
      <c r="N11" s="66" t="n"/>
      <c r="O11" s="67" t="n">
        <v>3</v>
      </c>
      <c r="P11" s="67">
        <f>IF(J11="","",O11*J11)</f>
        <v/>
      </c>
      <c r="Q11" s="66" t="inlineStr">
        <is>
          <t>Play 8</t>
        </is>
      </c>
      <c r="R11" s="66" t="n"/>
      <c r="S11" s="66" t="n"/>
      <c r="T11" s="66" t="n"/>
      <c r="U11" s="66" t="inlineStr">
        <is>
          <t>PA 4</t>
        </is>
      </c>
    </row>
    <row r="12" ht="39.75" customHeight="1" s="1">
      <c r="A12" s="68" t="inlineStr">
        <is>
          <t>D2 Human accountability</t>
        </is>
      </c>
      <c r="B12" s="65" t="inlineStr">
        <is>
          <t>D2.3</t>
        </is>
      </c>
      <c r="C12" s="66" t="inlineStr">
        <is>
          <t>Human approval at significant checkpoints</t>
        </is>
      </c>
      <c r="D12" s="66" t="inlineStr">
        <is>
          <t>Hold the agent at the points that matter most</t>
        </is>
      </c>
      <c r="E12" s="66" t="inlineStr">
        <is>
          <t>Oversight &amp; Accountability</t>
        </is>
      </c>
      <c r="F12" s="66" t="inlineStr">
        <is>
          <t>A.6 AI system life cycle</t>
        </is>
      </c>
      <c r="G12" s="66" t="inlineStr">
        <is>
          <t>GOVERN 4.1; MANAGE 2.3</t>
        </is>
      </c>
      <c r="H12" s="66" t="inlineStr">
        <is>
          <t>AI Risk Committee / Model Owner</t>
        </is>
      </c>
      <c r="I12" s="66" t="inlineStr">
        <is>
          <t>Not started</t>
        </is>
      </c>
      <c r="J12" s="67" t="n"/>
      <c r="K12" s="66" t="n"/>
      <c r="L12" s="66" t="n"/>
      <c r="M12" s="66" t="n"/>
      <c r="N12" s="66" t="n"/>
      <c r="O12" s="67" t="n">
        <v>5</v>
      </c>
      <c r="P12" s="67">
        <f>IF(J12="","",O12*J12)</f>
        <v/>
      </c>
      <c r="Q12" s="66" t="inlineStr">
        <is>
          <t>Play 4</t>
        </is>
      </c>
      <c r="R12" s="66" t="inlineStr">
        <is>
          <t>MAS M3.4 | SAFR S2.3</t>
        </is>
      </c>
      <c r="S12" s="66" t="n"/>
      <c r="T12" s="66" t="n"/>
      <c r="U12" s="66" t="inlineStr">
        <is>
          <t>—</t>
        </is>
      </c>
    </row>
    <row r="13" ht="39.75" customHeight="1" s="1">
      <c r="A13" s="68" t="inlineStr">
        <is>
          <t>D2 Human accountability</t>
        </is>
      </c>
      <c r="B13" s="65" t="inlineStr">
        <is>
          <t>D2.4</t>
        </is>
      </c>
      <c r="C13" s="66" t="inlineStr">
        <is>
          <t>Approval design</t>
        </is>
      </c>
      <c r="D13" s="66" t="inlineStr">
        <is>
          <t>Prevent oversight collapsing into rubber-stamping</t>
        </is>
      </c>
      <c r="E13" s="66" t="inlineStr">
        <is>
          <t>Oversight &amp; Accountability</t>
        </is>
      </c>
      <c r="F13" s="66" t="inlineStr">
        <is>
          <t>A.6 AI system life cycle</t>
        </is>
      </c>
      <c r="G13" s="66" t="inlineStr">
        <is>
          <t>GOVERN 4.1; MEASURE 3.3</t>
        </is>
      </c>
      <c r="H13" s="66" t="inlineStr">
        <is>
          <t>AI Risk Committee / Model Owner</t>
        </is>
      </c>
      <c r="I13" s="66" t="inlineStr">
        <is>
          <t>Not started</t>
        </is>
      </c>
      <c r="J13" s="67" t="n"/>
      <c r="K13" s="66" t="n"/>
      <c r="L13" s="66" t="n"/>
      <c r="M13" s="66" t="n"/>
      <c r="N13" s="66" t="n"/>
      <c r="O13" s="67" t="n">
        <v>4</v>
      </c>
      <c r="P13" s="67">
        <f>IF(J13="","",O13*J13)</f>
        <v/>
      </c>
      <c r="Q13" s="66" t="inlineStr">
        <is>
          <t>Play 4</t>
        </is>
      </c>
      <c r="R13" s="66" t="inlineStr">
        <is>
          <t>MAS M3.4 | SAFR S2.3</t>
        </is>
      </c>
      <c r="S13" s="66" t="n"/>
      <c r="T13" s="66" t="n"/>
      <c r="U13" s="66" t="inlineStr">
        <is>
          <t>—</t>
        </is>
      </c>
    </row>
    <row r="14" ht="39.75" customHeight="1" s="1">
      <c r="A14" s="68" t="inlineStr">
        <is>
          <t>D2 Human accountability</t>
        </is>
      </c>
      <c r="B14" s="65" t="inlineStr">
        <is>
          <t>D2.5</t>
        </is>
      </c>
      <c r="C14" s="66" t="inlineStr">
        <is>
          <t>Audit approval effectiveness</t>
        </is>
      </c>
      <c r="D14" s="66" t="inlineStr">
        <is>
          <t>Verify oversight is real, not nominal</t>
        </is>
      </c>
      <c r="E14" s="66" t="inlineStr">
        <is>
          <t>Oversight &amp; Accountability</t>
        </is>
      </c>
      <c r="F14" s="66" t="inlineStr">
        <is>
          <t>A.6 AI system life cycle</t>
        </is>
      </c>
      <c r="G14" s="66" t="inlineStr">
        <is>
          <t>MEASURE 4.1; MANAGE 4.1</t>
        </is>
      </c>
      <c r="H14" s="66" t="inlineStr">
        <is>
          <t>AI Risk Committee / Model Owner</t>
        </is>
      </c>
      <c r="I14" s="66" t="inlineStr">
        <is>
          <t>Not started</t>
        </is>
      </c>
      <c r="J14" s="67" t="n"/>
      <c r="K14" s="66" t="n"/>
      <c r="L14" s="66" t="n"/>
      <c r="M14" s="66" t="n"/>
      <c r="N14" s="66" t="n"/>
      <c r="O14" s="67" t="n">
        <v>4</v>
      </c>
      <c r="P14" s="67">
        <f>IF(J14="","",O14*J14)</f>
        <v/>
      </c>
      <c r="Q14" s="66" t="inlineStr">
        <is>
          <t>Play 5, 11</t>
        </is>
      </c>
      <c r="R14" s="66" t="inlineStr">
        <is>
          <t>MAS M3.4 | SAFR S3.5</t>
        </is>
      </c>
      <c r="S14" s="66" t="n"/>
      <c r="T14" s="66" t="n"/>
      <c r="U14" s="66" t="inlineStr">
        <is>
          <t>PA 6</t>
        </is>
      </c>
    </row>
    <row r="15" ht="39.75" customHeight="1" s="1">
      <c r="A15" s="68" t="inlineStr">
        <is>
          <t>D2 Human accountability</t>
        </is>
      </c>
      <c r="B15" s="65" t="inlineStr">
        <is>
          <t>D2.6  ★</t>
        </is>
      </c>
      <c r="C15" s="66" t="inlineStr">
        <is>
          <t>Automation-bias countermeasures</t>
        </is>
      </c>
      <c r="D15" s="66" t="inlineStr">
        <is>
          <t>Detect decaying human attention early</t>
        </is>
      </c>
      <c r="E15" s="66" t="inlineStr">
        <is>
          <t>Oversight &amp; Accountability</t>
        </is>
      </c>
      <c r="F15" s="66" t="inlineStr">
        <is>
          <t>A.6 AI system life cycle</t>
        </is>
      </c>
      <c r="G15" s="66" t="inlineStr">
        <is>
          <t>GOVERN 3.2; MEASURE 3.3</t>
        </is>
      </c>
      <c r="H15" s="66" t="inlineStr">
        <is>
          <t>AI Risk Committee / Model Owner</t>
        </is>
      </c>
      <c r="I15" s="66" t="inlineStr">
        <is>
          <t>Not started</t>
        </is>
      </c>
      <c r="J15" s="67" t="n"/>
      <c r="K15" s="66" t="n"/>
      <c r="L15" s="66" t="n"/>
      <c r="M15" s="66" t="n"/>
      <c r="N15" s="66" t="n"/>
      <c r="O15" s="67" t="n">
        <v>4</v>
      </c>
      <c r="P15" s="67">
        <f>IF(J15="","",O15*J15)</f>
        <v/>
      </c>
      <c r="Q15" s="66" t="inlineStr">
        <is>
          <t>Play 11</t>
        </is>
      </c>
      <c r="R15" s="66" t="inlineStr">
        <is>
          <t>MAS M3.4</t>
        </is>
      </c>
      <c r="S15" s="66" t="n"/>
      <c r="T15" s="66" t="n"/>
      <c r="U15" s="66" t="inlineStr">
        <is>
          <t>PA 10</t>
        </is>
      </c>
    </row>
    <row r="16" ht="39.75" customHeight="1" s="1">
      <c r="A16" s="68" t="inlineStr">
        <is>
          <t>D2 Human accountability</t>
        </is>
      </c>
      <c r="B16" s="65" t="inlineStr">
        <is>
          <t>D2.7</t>
        </is>
      </c>
      <c r="C16" s="66" t="inlineStr">
        <is>
          <t>End-user accountability information</t>
        </is>
      </c>
      <c r="D16" s="66" t="inlineStr">
        <is>
          <t>Enable accountability to flow to users</t>
        </is>
      </c>
      <c r="E16" s="66" t="inlineStr">
        <is>
          <t>Transparency &amp; Communication</t>
        </is>
      </c>
      <c r="F16" s="66" t="inlineStr">
        <is>
          <t>A.8 Information to interested parties</t>
        </is>
      </c>
      <c r="G16" s="66" t="inlineStr">
        <is>
          <t>GOVERN 5.1; MAP 3.5</t>
        </is>
      </c>
      <c r="H16" s="66" t="inlineStr">
        <is>
          <t>Compliance &amp; Legal</t>
        </is>
      </c>
      <c r="I16" s="66" t="inlineStr">
        <is>
          <t>Not started</t>
        </is>
      </c>
      <c r="J16" s="67" t="n"/>
      <c r="K16" s="66" t="n"/>
      <c r="L16" s="66" t="n"/>
      <c r="M16" s="66" t="n"/>
      <c r="N16" s="66" t="n"/>
      <c r="O16" s="67" t="n">
        <v>3</v>
      </c>
      <c r="P16" s="67">
        <f>IF(J16="","",O16*J16)</f>
        <v/>
      </c>
      <c r="Q16" s="66" t="inlineStr">
        <is>
          <t>Play 11</t>
        </is>
      </c>
      <c r="R16" s="66" t="inlineStr">
        <is>
          <t>MAS M3.3, F4 | SAFR S3.2</t>
        </is>
      </c>
      <c r="S16" s="66" t="n"/>
      <c r="T16" s="66" t="n"/>
      <c r="U16" s="66" t="inlineStr">
        <is>
          <t>—</t>
        </is>
      </c>
    </row>
    <row r="17" ht="39.75" customHeight="1" s="1">
      <c r="A17" s="69" t="inlineStr">
        <is>
          <t>D3 Technical controls</t>
        </is>
      </c>
      <c r="B17" s="65" t="inlineStr">
        <is>
          <t>D3.1</t>
        </is>
      </c>
      <c r="C17" s="66" t="inlineStr">
        <is>
          <t>Least-privilege tool/data access (technical)</t>
        </is>
      </c>
      <c r="D17" s="66" t="inlineStr">
        <is>
          <t>Constrain capability at runtime</t>
        </is>
      </c>
      <c r="E17" s="66" t="inlineStr">
        <is>
          <t>Lifecycle: Development &amp; Validation</t>
        </is>
      </c>
      <c r="F17" s="66" t="inlineStr">
        <is>
          <t>A.6 AI system life cycle</t>
        </is>
      </c>
      <c r="G17" s="66" t="inlineStr">
        <is>
          <t>MANAGE 2.3; MEASURE 2.7</t>
        </is>
      </c>
      <c r="H17" s="66" t="inlineStr">
        <is>
          <t>Model Developer / InfoSec</t>
        </is>
      </c>
      <c r="I17" s="66" t="inlineStr">
        <is>
          <t>Not started</t>
        </is>
      </c>
      <c r="J17" s="67" t="n"/>
      <c r="K17" s="66" t="n"/>
      <c r="L17" s="66" t="n"/>
      <c r="M17" s="66" t="n"/>
      <c r="N17" s="66" t="n"/>
      <c r="O17" s="67" t="n">
        <v>5</v>
      </c>
      <c r="P17" s="67">
        <f>IF(J17="","",O17*J17)</f>
        <v/>
      </c>
      <c r="Q17" s="66" t="inlineStr">
        <is>
          <t>Play 3</t>
        </is>
      </c>
      <c r="R17" s="66" t="inlineStr">
        <is>
          <t>MAS M3.7 | SAFR S1.4</t>
        </is>
      </c>
      <c r="S17" s="66" t="n"/>
      <c r="T17" s="66" t="n"/>
      <c r="U17" s="66" t="inlineStr">
        <is>
          <t>PA 3, PA 8</t>
        </is>
      </c>
    </row>
    <row r="18" ht="39.75" customHeight="1" s="1">
      <c r="A18" s="69" t="inlineStr">
        <is>
          <t>D3 Technical controls</t>
        </is>
      </c>
      <c r="B18" s="65" t="inlineStr">
        <is>
          <t>D3.2</t>
        </is>
      </c>
      <c r="C18" s="66" t="inlineStr">
        <is>
          <t>Secure sandboxed environment</t>
        </is>
      </c>
      <c r="D18" s="66" t="inlineStr">
        <is>
          <t>Contain agents during build/test</t>
        </is>
      </c>
      <c r="E18" s="66" t="inlineStr">
        <is>
          <t>Lifecycle: Development &amp; Validation</t>
        </is>
      </c>
      <c r="F18" s="66" t="inlineStr">
        <is>
          <t>A.6 AI system life cycle</t>
        </is>
      </c>
      <c r="G18" s="66" t="inlineStr">
        <is>
          <t>MANAGE 2.3; MEASURE 2.7</t>
        </is>
      </c>
      <c r="H18" s="66" t="inlineStr">
        <is>
          <t>Model Developer / InfoSec</t>
        </is>
      </c>
      <c r="I18" s="66" t="inlineStr">
        <is>
          <t>Not started</t>
        </is>
      </c>
      <c r="J18" s="67" t="n"/>
      <c r="K18" s="66" t="n"/>
      <c r="L18" s="66" t="n"/>
      <c r="M18" s="66" t="n"/>
      <c r="N18" s="66" t="n"/>
      <c r="O18" s="67" t="n">
        <v>4</v>
      </c>
      <c r="P18" s="67">
        <f>IF(J18="","",O18*J18)</f>
        <v/>
      </c>
      <c r="Q18" s="66" t="inlineStr">
        <is>
          <t>Play 3</t>
        </is>
      </c>
      <c r="R18" s="66" t="inlineStr">
        <is>
          <t>MAS M3.7 | SAFR S2.6</t>
        </is>
      </c>
      <c r="S18" s="66" t="n"/>
      <c r="T18" s="66" t="n"/>
      <c r="U18" s="66" t="inlineStr">
        <is>
          <t>PA 3, PA 8</t>
        </is>
      </c>
    </row>
    <row r="19" ht="39.75" customHeight="1" s="1">
      <c r="A19" s="69" t="inlineStr">
        <is>
          <t>D3 Technical controls</t>
        </is>
      </c>
      <c r="B19" s="65" t="inlineStr">
        <is>
          <t>D3.3</t>
        </is>
      </c>
      <c r="C19" s="66" t="inlineStr">
        <is>
          <t>Tool guardrails</t>
        </is>
      </c>
      <c r="D19" s="66" t="inlineStr">
        <is>
          <t>Prevent tool misuse or invented tool calls</t>
        </is>
      </c>
      <c r="E19" s="66" t="inlineStr">
        <is>
          <t>Lifecycle: Development &amp; Validation</t>
        </is>
      </c>
      <c r="F19" s="66" t="inlineStr">
        <is>
          <t>A.6 AI system life cycle</t>
        </is>
      </c>
      <c r="G19" s="66" t="inlineStr">
        <is>
          <t>MANAGE 2.3, 2.4</t>
        </is>
      </c>
      <c r="H19" s="66" t="inlineStr">
        <is>
          <t>Model Developer / InfoSec</t>
        </is>
      </c>
      <c r="I19" s="66" t="inlineStr">
        <is>
          <t>Not started</t>
        </is>
      </c>
      <c r="J19" s="67" t="n"/>
      <c r="K19" s="66" t="n"/>
      <c r="L19" s="66" t="n"/>
      <c r="M19" s="66" t="n"/>
      <c r="N19" s="66" t="n"/>
      <c r="O19" s="67" t="n">
        <v>4</v>
      </c>
      <c r="P19" s="67">
        <f>IF(J19="","",O19*J19)</f>
        <v/>
      </c>
      <c r="Q19" s="66" t="inlineStr">
        <is>
          <t>Play 3</t>
        </is>
      </c>
      <c r="R19" s="66" t="inlineStr">
        <is>
          <t>MAS M3.7 | SAFR S2.4</t>
        </is>
      </c>
      <c r="S19" s="66" t="n"/>
      <c r="T19" s="66" t="n"/>
      <c r="U19" s="66" t="inlineStr">
        <is>
          <t>PA 3, PA 8</t>
        </is>
      </c>
    </row>
    <row r="20" ht="39.75" customHeight="1" s="1">
      <c r="A20" s="69" t="inlineStr">
        <is>
          <t>D3 Technical controls</t>
        </is>
      </c>
      <c r="B20" s="65" t="inlineStr">
        <is>
          <t>D3.4</t>
        </is>
      </c>
      <c r="C20" s="66" t="inlineStr">
        <is>
          <t>Plan reflection</t>
        </is>
      </c>
      <c r="D20" s="66" t="inlineStr">
        <is>
          <t>Catch flawed plans before execution</t>
        </is>
      </c>
      <c r="E20" s="66" t="inlineStr">
        <is>
          <t>Lifecycle: Development &amp; Validation</t>
        </is>
      </c>
      <c r="F20" s="66" t="inlineStr">
        <is>
          <t>A.6 AI system life cycle</t>
        </is>
      </c>
      <c r="G20" s="66" t="inlineStr">
        <is>
          <t>MEASURE 2.5; MANAGE 1.3</t>
        </is>
      </c>
      <c r="H20" s="66" t="inlineStr">
        <is>
          <t>Model Developer / InfoSec</t>
        </is>
      </c>
      <c r="I20" s="66" t="inlineStr">
        <is>
          <t>Not started</t>
        </is>
      </c>
      <c r="J20" s="67" t="n"/>
      <c r="K20" s="66" t="n"/>
      <c r="L20" s="66" t="n"/>
      <c r="M20" s="66" t="n"/>
      <c r="N20" s="66" t="n"/>
      <c r="O20" s="67" t="n">
        <v>3</v>
      </c>
      <c r="P20" s="67">
        <f>IF(J20="","",O20*J20)</f>
        <v/>
      </c>
      <c r="Q20" s="66" t="inlineStr">
        <is>
          <t>Play 3</t>
        </is>
      </c>
      <c r="R20" s="66" t="n"/>
      <c r="S20" s="66" t="n"/>
      <c r="T20" s="66" t="n"/>
      <c r="U20" s="66" t="inlineStr">
        <is>
          <t>—</t>
        </is>
      </c>
    </row>
    <row r="21" ht="39.75" customHeight="1" s="1">
      <c r="A21" s="69" t="inlineStr">
        <is>
          <t>D3 Technical controls</t>
        </is>
      </c>
      <c r="B21" s="65" t="inlineStr">
        <is>
          <t>D3.5</t>
        </is>
      </c>
      <c r="C21" s="66" t="inlineStr">
        <is>
          <t>Instruction comprehension check</t>
        </is>
      </c>
      <c r="D21" s="66" t="inlineStr">
        <is>
          <t>Reduce mis-scoped task execution</t>
        </is>
      </c>
      <c r="E21" s="66" t="inlineStr">
        <is>
          <t>Lifecycle: Development &amp; Validation</t>
        </is>
      </c>
      <c r="F21" s="66" t="inlineStr">
        <is>
          <t>A.6 AI system life cycle</t>
        </is>
      </c>
      <c r="G21" s="66" t="inlineStr">
        <is>
          <t>MEASURE 2.5</t>
        </is>
      </c>
      <c r="H21" s="66" t="inlineStr">
        <is>
          <t>Model Developer / InfoSec</t>
        </is>
      </c>
      <c r="I21" s="66" t="inlineStr">
        <is>
          <t>Not started</t>
        </is>
      </c>
      <c r="J21" s="67" t="n"/>
      <c r="K21" s="66" t="n"/>
      <c r="L21" s="66" t="n"/>
      <c r="M21" s="66" t="n"/>
      <c r="N21" s="66" t="n"/>
      <c r="O21" s="67" t="n">
        <v>3</v>
      </c>
      <c r="P21" s="67">
        <f>IF(J21="","",O21*J21)</f>
        <v/>
      </c>
      <c r="Q21" s="66" t="inlineStr">
        <is>
          <t>Play 3</t>
        </is>
      </c>
      <c r="R21" s="66" t="n"/>
      <c r="S21" s="66" t="n"/>
      <c r="T21" s="66" t="n"/>
      <c r="U21" s="66" t="inlineStr">
        <is>
          <t>—</t>
        </is>
      </c>
    </row>
    <row r="22" ht="39.75" customHeight="1" s="1">
      <c r="A22" s="69" t="inlineStr">
        <is>
          <t>D3 Technical controls</t>
        </is>
      </c>
      <c r="B22" s="65" t="inlineStr">
        <is>
          <t>D3.6</t>
        </is>
      </c>
      <c r="C22" s="66" t="inlineStr">
        <is>
          <t>Plan &amp; reasoning logging</t>
        </is>
      </c>
      <c r="D22" s="66" t="inlineStr">
        <is>
          <t>Make agent intent inspectable</t>
        </is>
      </c>
      <c r="E22" s="66" t="inlineStr">
        <is>
          <t>Lifecycle: Deployment &amp; Monitoring</t>
        </is>
      </c>
      <c r="F22" s="66" t="inlineStr">
        <is>
          <t>A.6 AI system life cycle</t>
        </is>
      </c>
      <c r="G22" s="66" t="inlineStr">
        <is>
          <t>MEASURE 3.1; MAP 1.1</t>
        </is>
      </c>
      <c r="H22" s="66" t="inlineStr">
        <is>
          <t>Model Owner / AI Risk (2nd line)</t>
        </is>
      </c>
      <c r="I22" s="66" t="inlineStr">
        <is>
          <t>Not started</t>
        </is>
      </c>
      <c r="J22" s="67" t="n"/>
      <c r="K22" s="66" t="n"/>
      <c r="L22" s="66" t="n"/>
      <c r="M22" s="66" t="n"/>
      <c r="N22" s="66" t="n"/>
      <c r="O22" s="67" t="n">
        <v>4</v>
      </c>
      <c r="P22" s="67">
        <f>IF(J22="","",O22*J22)</f>
        <v/>
      </c>
      <c r="Q22" s="66" t="inlineStr">
        <is>
          <t>Play 3, 5</t>
        </is>
      </c>
      <c r="R22" s="66" t="inlineStr">
        <is>
          <t>MAS M3.8 | SAFR S3.1</t>
        </is>
      </c>
      <c r="S22" s="66" t="n"/>
      <c r="T22" s="66" t="n"/>
      <c r="U22" s="66" t="inlineStr">
        <is>
          <t>—</t>
        </is>
      </c>
    </row>
    <row r="23" ht="39.75" customHeight="1" s="1">
      <c r="A23" s="69" t="inlineStr">
        <is>
          <t>D3 Technical controls</t>
        </is>
      </c>
      <c r="B23" s="65" t="inlineStr">
        <is>
          <t>D3.7  ★</t>
        </is>
      </c>
      <c r="C23" s="66" t="inlineStr">
        <is>
          <t>Structural / rule-based controls</t>
        </is>
      </c>
      <c r="D23" s="66" t="inlineStr">
        <is>
          <t>Use controls that can't be prompted away</t>
        </is>
      </c>
      <c r="E23" s="66" t="inlineStr">
        <is>
          <t>Lifecycle: Development &amp; Validation</t>
        </is>
      </c>
      <c r="F23" s="66" t="inlineStr">
        <is>
          <t>A.6 AI system life cycle</t>
        </is>
      </c>
      <c r="G23" s="66" t="inlineStr">
        <is>
          <t>MANAGE 2.3; MEASURE 2.7</t>
        </is>
      </c>
      <c r="H23" s="66" t="inlineStr">
        <is>
          <t>Model Developer / InfoSec</t>
        </is>
      </c>
      <c r="I23" s="66" t="inlineStr">
        <is>
          <t>Not started</t>
        </is>
      </c>
      <c r="J23" s="67" t="n"/>
      <c r="K23" s="66" t="n"/>
      <c r="L23" s="66" t="n"/>
      <c r="M23" s="66" t="n"/>
      <c r="N23" s="66" t="n"/>
      <c r="O23" s="67" t="n">
        <v>5</v>
      </c>
      <c r="P23" s="67">
        <f>IF(J23="","",O23*J23)</f>
        <v/>
      </c>
      <c r="Q23" s="66" t="inlineStr">
        <is>
          <t>Play 3</t>
        </is>
      </c>
      <c r="R23" s="66" t="inlineStr">
        <is>
          <t>MAS M3.7 | SAFR S1.4</t>
        </is>
      </c>
      <c r="S23" s="66" t="n"/>
      <c r="T23" s="66" t="n"/>
      <c r="U23" s="66" t="inlineStr">
        <is>
          <t>PA 3, PA 8</t>
        </is>
      </c>
    </row>
    <row r="24" ht="39.75" customHeight="1" s="1">
      <c r="A24" s="69" t="inlineStr">
        <is>
          <t>D3 Technical controls</t>
        </is>
      </c>
      <c r="B24" s="65" t="inlineStr">
        <is>
          <t>D3.8</t>
        </is>
      </c>
      <c r="C24" s="66" t="inlineStr">
        <is>
          <t>Agent-specific testing</t>
        </is>
      </c>
      <c r="D24" s="66" t="inlineStr">
        <is>
          <t>Validate the agent before release</t>
        </is>
      </c>
      <c r="E24" s="66" t="inlineStr">
        <is>
          <t>Lifecycle: Development &amp; Validation</t>
        </is>
      </c>
      <c r="F24" s="66" t="inlineStr">
        <is>
          <t>A.6 AI system life cycle</t>
        </is>
      </c>
      <c r="G24" s="66" t="inlineStr">
        <is>
          <t>MEASURE 1.3, 2.3</t>
        </is>
      </c>
      <c r="H24" s="66" t="inlineStr">
        <is>
          <t>Independent Validation / InfoSec</t>
        </is>
      </c>
      <c r="I24" s="66" t="inlineStr">
        <is>
          <t>Not started</t>
        </is>
      </c>
      <c r="J24" s="67" t="n"/>
      <c r="K24" s="66" t="n"/>
      <c r="L24" s="66" t="n"/>
      <c r="M24" s="66" t="n"/>
      <c r="N24" s="66" t="n"/>
      <c r="O24" s="67" t="n">
        <v>5</v>
      </c>
      <c r="P24" s="67">
        <f>IF(J24="","",O24*J24)</f>
        <v/>
      </c>
      <c r="Q24" s="66" t="inlineStr">
        <is>
          <t>Play 3, 10</t>
        </is>
      </c>
      <c r="R24" s="66" t="n"/>
      <c r="S24" s="66" t="n"/>
      <c r="T24" s="66" t="n"/>
      <c r="U24" s="66" t="inlineStr">
        <is>
          <t>PA 1, PA 11</t>
        </is>
      </c>
    </row>
    <row r="25" ht="39.75" customHeight="1" s="1">
      <c r="A25" s="69" t="inlineStr">
        <is>
          <t>D3 Technical controls</t>
        </is>
      </c>
      <c r="B25" s="65" t="inlineStr">
        <is>
          <t>D3.9  ★</t>
        </is>
      </c>
      <c r="C25" s="66" t="inlineStr">
        <is>
          <t>Multi-agent / workflow evaluation</t>
        </is>
      </c>
      <c r="D25" s="66" t="inlineStr">
        <is>
          <t>Surface emergent multi-agent failure</t>
        </is>
      </c>
      <c r="E25" s="66" t="inlineStr">
        <is>
          <t>Lifecycle: Development &amp; Validation</t>
        </is>
      </c>
      <c r="F25" s="66" t="inlineStr">
        <is>
          <t>A.6 AI system life cycle</t>
        </is>
      </c>
      <c r="G25" s="66" t="inlineStr">
        <is>
          <t>MEASURE 2.6; MANAGE 3.1</t>
        </is>
      </c>
      <c r="H25" s="66" t="inlineStr">
        <is>
          <t>Independent Validation / InfoSec</t>
        </is>
      </c>
      <c r="I25" s="66" t="inlineStr">
        <is>
          <t>Not started</t>
        </is>
      </c>
      <c r="J25" s="67" t="n"/>
      <c r="K25" s="66" t="n"/>
      <c r="L25" s="66" t="n"/>
      <c r="M25" s="66" t="n"/>
      <c r="N25" s="66" t="n"/>
      <c r="O25" s="67" t="n">
        <v>4</v>
      </c>
      <c r="P25" s="67">
        <f>IF(J25="","",O25*J25)</f>
        <v/>
      </c>
      <c r="Q25" s="66" t="inlineStr">
        <is>
          <t>Play 3, 10</t>
        </is>
      </c>
      <c r="R25" s="66" t="inlineStr">
        <is>
          <t>MAS M3.14 | SAFR S4.4</t>
        </is>
      </c>
      <c r="S25" s="66" t="n"/>
      <c r="T25" s="66" t="n"/>
      <c r="U25" s="66" t="inlineStr">
        <is>
          <t>PA 1</t>
        </is>
      </c>
    </row>
    <row r="26" ht="39.75" customHeight="1" s="1">
      <c r="A26" s="69" t="inlineStr">
        <is>
          <t>D3 Technical controls</t>
        </is>
      </c>
      <c r="B26" s="65" t="inlineStr">
        <is>
          <t>D3.10</t>
        </is>
      </c>
      <c r="C26" s="66" t="inlineStr">
        <is>
          <t>Gradual rollout</t>
        </is>
      </c>
      <c r="D26" s="66" t="inlineStr">
        <is>
          <t>Contain impact of unseen failures</t>
        </is>
      </c>
      <c r="E26" s="66" t="inlineStr">
        <is>
          <t>Lifecycle: Deployment &amp; Monitoring</t>
        </is>
      </c>
      <c r="F26" s="66" t="inlineStr">
        <is>
          <t>A.6 AI system life cycle</t>
        </is>
      </c>
      <c r="G26" s="66" t="inlineStr">
        <is>
          <t>MANAGE 1.3, 2.4</t>
        </is>
      </c>
      <c r="H26" s="66" t="inlineStr">
        <is>
          <t>Model Owner</t>
        </is>
      </c>
      <c r="I26" s="66" t="inlineStr">
        <is>
          <t>Not started</t>
        </is>
      </c>
      <c r="J26" s="67" t="n"/>
      <c r="K26" s="66" t="n"/>
      <c r="L26" s="66" t="n"/>
      <c r="M26" s="66" t="n"/>
      <c r="N26" s="66" t="n"/>
      <c r="O26" s="67" t="n">
        <v>4</v>
      </c>
      <c r="P26" s="67">
        <f>IF(J26="","",O26*J26)</f>
        <v/>
      </c>
      <c r="Q26" s="66" t="inlineStr">
        <is>
          <t>Play 4</t>
        </is>
      </c>
      <c r="R26" s="66" t="n"/>
      <c r="S26" s="66" t="n"/>
      <c r="T26" s="66" t="n"/>
      <c r="U26" s="66" t="inlineStr">
        <is>
          <t>PA 5</t>
        </is>
      </c>
    </row>
    <row r="27" ht="39.75" customHeight="1" s="1">
      <c r="A27" s="69" t="inlineStr">
        <is>
          <t>D3 Technical controls</t>
        </is>
      </c>
      <c r="B27" s="65" t="inlineStr">
        <is>
          <t>D3.11</t>
        </is>
      </c>
      <c r="C27" s="66" t="inlineStr">
        <is>
          <t>Continuous monitoring + real-time intervention</t>
        </is>
      </c>
      <c r="D27" s="66" t="inlineStr">
        <is>
          <t>Stop harm as it emerges</t>
        </is>
      </c>
      <c r="E27" s="66" t="inlineStr">
        <is>
          <t>Lifecycle: Deployment &amp; Monitoring</t>
        </is>
      </c>
      <c r="F27" s="66" t="inlineStr">
        <is>
          <t>A.6 AI system life cycle</t>
        </is>
      </c>
      <c r="G27" s="66" t="inlineStr">
        <is>
          <t>MEASURE 2.4; MANAGE 4.1</t>
        </is>
      </c>
      <c r="H27" s="66" t="inlineStr">
        <is>
          <t>Model Owner / AI Risk (2nd line)</t>
        </is>
      </c>
      <c r="I27" s="66" t="inlineStr">
        <is>
          <t>Not started</t>
        </is>
      </c>
      <c r="J27" s="67" t="n"/>
      <c r="K27" s="66" t="n"/>
      <c r="L27" s="66" t="n"/>
      <c r="M27" s="66" t="n"/>
      <c r="N27" s="66" t="n"/>
      <c r="O27" s="67" t="n">
        <v>5</v>
      </c>
      <c r="P27" s="67">
        <f>IF(J27="","",O27*J27)</f>
        <v/>
      </c>
      <c r="Q27" s="66" t="inlineStr">
        <is>
          <t>Play 5</t>
        </is>
      </c>
      <c r="R27" s="66" t="inlineStr">
        <is>
          <t>MAS M3.10 | SAFR S2.5</t>
        </is>
      </c>
      <c r="S27" s="66" t="n"/>
      <c r="T27" s="66" t="n"/>
      <c r="U27" s="66" t="inlineStr">
        <is>
          <t>PA 3, PA 9, PA 10</t>
        </is>
      </c>
    </row>
    <row r="28" ht="39.75" customHeight="1" s="1">
      <c r="A28" s="69" t="inlineStr">
        <is>
          <t>D3 Technical controls</t>
        </is>
      </c>
      <c r="B28" s="65" t="inlineStr">
        <is>
          <t>D3.12</t>
        </is>
      </c>
      <c r="C28" s="66" t="inlineStr">
        <is>
          <t>Anomaly detection</t>
        </is>
      </c>
      <c r="D28" s="66" t="inlineStr">
        <is>
          <t>Flag deviation from expected behaviour</t>
        </is>
      </c>
      <c r="E28" s="66" t="inlineStr">
        <is>
          <t>Lifecycle: Deployment &amp; Monitoring</t>
        </is>
      </c>
      <c r="F28" s="66" t="inlineStr">
        <is>
          <t>A.6 AI system life cycle</t>
        </is>
      </c>
      <c r="G28" s="66" t="inlineStr">
        <is>
          <t>MEASURE 2.4, 3.1</t>
        </is>
      </c>
      <c r="H28" s="66" t="inlineStr">
        <is>
          <t>Model Owner / AI Risk (2nd line)</t>
        </is>
      </c>
      <c r="I28" s="66" t="inlineStr">
        <is>
          <t>Not started</t>
        </is>
      </c>
      <c r="J28" s="67" t="n"/>
      <c r="K28" s="66" t="n"/>
      <c r="L28" s="66" t="n"/>
      <c r="M28" s="66" t="n"/>
      <c r="N28" s="66" t="n"/>
      <c r="O28" s="67" t="n">
        <v>4</v>
      </c>
      <c r="P28" s="67">
        <f>IF(J28="","",O28*J28)</f>
        <v/>
      </c>
      <c r="Q28" s="66" t="inlineStr">
        <is>
          <t>Play 5</t>
        </is>
      </c>
      <c r="R28" s="66" t="inlineStr">
        <is>
          <t>MAS M3.10 | SAFR S2.5</t>
        </is>
      </c>
      <c r="S28" s="66" t="n"/>
      <c r="T28" s="66" t="n"/>
      <c r="U28" s="66" t="inlineStr">
        <is>
          <t>PA 9</t>
        </is>
      </c>
    </row>
    <row r="29" ht="39.75" customHeight="1" s="1">
      <c r="A29" s="69" t="inlineStr">
        <is>
          <t>D3 Technical controls</t>
        </is>
      </c>
      <c r="B29" s="65" t="inlineStr">
        <is>
          <t>D3.13</t>
        </is>
      </c>
      <c r="C29" s="66" t="inlineStr">
        <is>
          <t>Logging strategy</t>
        </is>
      </c>
      <c r="D29" s="66" t="inlineStr">
        <is>
          <t>Ensure the right evidence exists</t>
        </is>
      </c>
      <c r="E29" s="66" t="inlineStr">
        <is>
          <t>Lifecycle: Deployment &amp; Monitoring</t>
        </is>
      </c>
      <c r="F29" s="66" t="inlineStr">
        <is>
          <t>A.6 AI system life cycle</t>
        </is>
      </c>
      <c r="G29" s="66" t="inlineStr">
        <is>
          <t>MEASURE 3.1; MANAGE 4.1</t>
        </is>
      </c>
      <c r="H29" s="66" t="inlineStr">
        <is>
          <t>Model Owner / AI Risk (2nd line)</t>
        </is>
      </c>
      <c r="I29" s="66" t="inlineStr">
        <is>
          <t>Not started</t>
        </is>
      </c>
      <c r="J29" s="67" t="n"/>
      <c r="K29" s="66" t="n"/>
      <c r="L29" s="66" t="n"/>
      <c r="M29" s="66" t="n"/>
      <c r="N29" s="66" t="n"/>
      <c r="O29" s="67" t="n">
        <v>4</v>
      </c>
      <c r="P29" s="67">
        <f>IF(J29="","",O29*J29)</f>
        <v/>
      </c>
      <c r="Q29" s="66" t="inlineStr">
        <is>
          <t>Play 5</t>
        </is>
      </c>
      <c r="R29" s="66" t="inlineStr">
        <is>
          <t>MAS M3.8 | SAFR S3.1, S3.2</t>
        </is>
      </c>
      <c r="S29" s="66" t="n"/>
      <c r="T29" s="66" t="n"/>
      <c r="U29" s="66" t="inlineStr">
        <is>
          <t>—</t>
        </is>
      </c>
    </row>
    <row r="30" ht="39.75" customHeight="1" s="1">
      <c r="A30" s="69" t="inlineStr">
        <is>
          <t>D3 Technical controls</t>
        </is>
      </c>
      <c r="B30" s="65" t="inlineStr">
        <is>
          <t>D3.14</t>
        </is>
      </c>
      <c r="C30" s="66" t="inlineStr">
        <is>
          <t>Log monitoring &amp; alerting</t>
        </is>
      </c>
      <c r="D30" s="66" t="inlineStr">
        <is>
          <t>Turn logs into timely action</t>
        </is>
      </c>
      <c r="E30" s="66" t="inlineStr">
        <is>
          <t>Lifecycle: Deployment &amp; Monitoring</t>
        </is>
      </c>
      <c r="F30" s="66" t="inlineStr">
        <is>
          <t>A.6 AI system life cycle</t>
        </is>
      </c>
      <c r="G30" s="66" t="inlineStr">
        <is>
          <t>MEASURE 3.3; MANAGE 4.1</t>
        </is>
      </c>
      <c r="H30" s="66" t="inlineStr">
        <is>
          <t>Model Owner / AI Risk (2nd line)</t>
        </is>
      </c>
      <c r="I30" s="66" t="inlineStr">
        <is>
          <t>Not started</t>
        </is>
      </c>
      <c r="J30" s="67" t="n"/>
      <c r="K30" s="66" t="n"/>
      <c r="L30" s="66" t="n"/>
      <c r="M30" s="66" t="n"/>
      <c r="N30" s="66" t="n"/>
      <c r="O30" s="67" t="n">
        <v>4</v>
      </c>
      <c r="P30" s="67">
        <f>IF(J30="","",O30*J30)</f>
        <v/>
      </c>
      <c r="Q30" s="66" t="inlineStr">
        <is>
          <t>Play 5</t>
        </is>
      </c>
      <c r="R30" s="66" t="inlineStr">
        <is>
          <t>MAS M3.10 | SAFR S3.5</t>
        </is>
      </c>
      <c r="S30" s="66" t="n"/>
      <c r="T30" s="66" t="n"/>
      <c r="U30" s="66" t="inlineStr">
        <is>
          <t>—</t>
        </is>
      </c>
    </row>
    <row r="31" ht="39.75" customHeight="1" s="1">
      <c r="A31" s="69" t="inlineStr">
        <is>
          <t>D3 Technical controls</t>
        </is>
      </c>
      <c r="B31" s="65" t="inlineStr">
        <is>
          <t>D3.15</t>
        </is>
      </c>
      <c r="C31" s="66" t="inlineStr">
        <is>
          <t>Incident review &amp; periodic audit</t>
        </is>
      </c>
      <c r="D31" s="66" t="inlineStr">
        <is>
          <t>Assure ongoing fitness of the system</t>
        </is>
      </c>
      <c r="E31" s="66" t="inlineStr">
        <is>
          <t>Lifecycle: Deployment &amp; Monitoring</t>
        </is>
      </c>
      <c r="F31" s="66" t="inlineStr">
        <is>
          <t>A.6 AI system life cycle</t>
        </is>
      </c>
      <c r="G31" s="66" t="inlineStr">
        <is>
          <t>MANAGE 4.1, 4.3</t>
        </is>
      </c>
      <c r="H31" s="66" t="inlineStr">
        <is>
          <t>Model Owner / AI Risk (2nd line)</t>
        </is>
      </c>
      <c r="I31" s="66" t="inlineStr">
        <is>
          <t>Not started</t>
        </is>
      </c>
      <c r="J31" s="67" t="n"/>
      <c r="K31" s="66" t="n"/>
      <c r="L31" s="66" t="n"/>
      <c r="M31" s="66" t="n"/>
      <c r="N31" s="66" t="n"/>
      <c r="O31" s="67" t="n">
        <v>4</v>
      </c>
      <c r="P31" s="67">
        <f>IF(J31="","",O31*J31)</f>
        <v/>
      </c>
      <c r="Q31" s="66" t="inlineStr">
        <is>
          <t>Play 5, 6</t>
        </is>
      </c>
      <c r="R31" s="66" t="inlineStr">
        <is>
          <t>MAS M3.11 | SAFR S3.5</t>
        </is>
      </c>
      <c r="S31" s="66" t="n"/>
      <c r="T31" s="66" t="n"/>
      <c r="U31" s="66" t="inlineStr">
        <is>
          <t>PA 11</t>
        </is>
      </c>
    </row>
    <row r="32" ht="39.75" customHeight="1" s="1">
      <c r="A32" s="69" t="inlineStr">
        <is>
          <t>D3 Technical controls</t>
        </is>
      </c>
      <c r="B32" s="65" t="inlineStr">
        <is>
          <t>D3.16</t>
        </is>
      </c>
      <c r="C32" s="66" t="inlineStr">
        <is>
          <t>Emergent-risk response mechanisms</t>
        </is>
      </c>
      <c r="D32" s="66" t="inlineStr">
        <is>
          <t>Be ready for the unforeseen</t>
        </is>
      </c>
      <c r="E32" s="66" t="inlineStr">
        <is>
          <t>Lifecycle: Deployment &amp; Monitoring</t>
        </is>
      </c>
      <c r="F32" s="66" t="inlineStr">
        <is>
          <t>A.6 AI system life cycle</t>
        </is>
      </c>
      <c r="G32" s="66" t="inlineStr">
        <is>
          <t>MANAGE 4.1, 4.2</t>
        </is>
      </c>
      <c r="H32" s="66" t="inlineStr">
        <is>
          <t>Model Owner / AI Risk (2nd line)</t>
        </is>
      </c>
      <c r="I32" s="66" t="inlineStr">
        <is>
          <t>Not started</t>
        </is>
      </c>
      <c r="J32" s="67" t="n"/>
      <c r="K32" s="66" t="n"/>
      <c r="L32" s="66" t="n"/>
      <c r="M32" s="66" t="n"/>
      <c r="N32" s="66" t="n"/>
      <c r="O32" s="67" t="n">
        <v>3</v>
      </c>
      <c r="P32" s="67">
        <f>IF(J32="","",O32*J32)</f>
        <v/>
      </c>
      <c r="Q32" s="66" t="inlineStr">
        <is>
          <t>Play 5, 6</t>
        </is>
      </c>
      <c r="R32" s="66" t="inlineStr">
        <is>
          <t>MAS M3.11 | SAFR S2.6</t>
        </is>
      </c>
      <c r="S32" s="66" t="n"/>
      <c r="T32" s="66" t="n"/>
      <c r="U32" s="66" t="inlineStr">
        <is>
          <t>PA 10</t>
        </is>
      </c>
    </row>
    <row r="33" ht="39.75" customHeight="1" s="1">
      <c r="A33" s="70" t="inlineStr">
        <is>
          <t>D4 End-user responsibility</t>
        </is>
      </c>
      <c r="B33" s="65" t="inlineStr">
        <is>
          <t>D4.1</t>
        </is>
      </c>
      <c r="C33" s="66" t="inlineStr">
        <is>
          <t>Transparency to interacting users</t>
        </is>
      </c>
      <c r="D33" s="66" t="inlineStr">
        <is>
          <t>Let users understand who/what they deal with</t>
        </is>
      </c>
      <c r="E33" s="66" t="inlineStr">
        <is>
          <t>Transparency &amp; Communication</t>
        </is>
      </c>
      <c r="F33" s="66" t="inlineStr">
        <is>
          <t>A.8 Information to interested parties</t>
        </is>
      </c>
      <c r="G33" s="66" t="inlineStr">
        <is>
          <t>GOVERN 5.1; MAP 3.5</t>
        </is>
      </c>
      <c r="H33" s="66" t="inlineStr">
        <is>
          <t>Model Owner / Compliance</t>
        </is>
      </c>
      <c r="I33" s="66" t="inlineStr">
        <is>
          <t>Not started</t>
        </is>
      </c>
      <c r="J33" s="67" t="n"/>
      <c r="K33" s="66" t="n"/>
      <c r="L33" s="66" t="n"/>
      <c r="M33" s="66" t="n"/>
      <c r="N33" s="66" t="n"/>
      <c r="O33" s="67" t="n">
        <v>3</v>
      </c>
      <c r="P33" s="67">
        <f>IF(J33="","",O33*J33)</f>
        <v/>
      </c>
      <c r="Q33" s="66" t="inlineStr">
        <is>
          <t>Play 11</t>
        </is>
      </c>
      <c r="R33" s="66" t="inlineStr">
        <is>
          <t>MAS M3.3, F4 | SAFR S3.2</t>
        </is>
      </c>
      <c r="S33" s="66" t="n"/>
      <c r="T33" s="66" t="n"/>
      <c r="U33" s="66" t="inlineStr">
        <is>
          <t>—</t>
        </is>
      </c>
    </row>
    <row r="34" ht="39.75" customHeight="1" s="1">
      <c r="A34" s="70" t="inlineStr">
        <is>
          <t>D4 End-user responsibility</t>
        </is>
      </c>
      <c r="B34" s="65" t="inlineStr">
        <is>
          <t>D4.2</t>
        </is>
      </c>
      <c r="C34" s="66" t="inlineStr">
        <is>
          <t>Transparency to integrating users</t>
        </is>
      </c>
      <c r="D34" s="66" t="inlineStr">
        <is>
          <t>Inform those who build on the agent</t>
        </is>
      </c>
      <c r="E34" s="66" t="inlineStr">
        <is>
          <t>Transparency &amp; Communication</t>
        </is>
      </c>
      <c r="F34" s="66" t="inlineStr">
        <is>
          <t>A.8 Information to interested parties</t>
        </is>
      </c>
      <c r="G34" s="66" t="inlineStr">
        <is>
          <t>GOVERN 5.1; MAP 3.4</t>
        </is>
      </c>
      <c r="H34" s="66" t="inlineStr">
        <is>
          <t>Model Owner / Compliance</t>
        </is>
      </c>
      <c r="I34" s="66" t="inlineStr">
        <is>
          <t>Not started</t>
        </is>
      </c>
      <c r="J34" s="67" t="n"/>
      <c r="K34" s="66" t="n"/>
      <c r="L34" s="66" t="n"/>
      <c r="M34" s="66" t="n"/>
      <c r="N34" s="66" t="n"/>
      <c r="O34" s="67" t="n">
        <v>3</v>
      </c>
      <c r="P34" s="67">
        <f>IF(J34="","",O34*J34)</f>
        <v/>
      </c>
      <c r="Q34" s="66" t="inlineStr">
        <is>
          <t>Play 11</t>
        </is>
      </c>
      <c r="R34" s="66" t="inlineStr">
        <is>
          <t>MAS M3.3</t>
        </is>
      </c>
      <c r="S34" s="66" t="n"/>
      <c r="T34" s="66" t="n"/>
      <c r="U34" s="66" t="inlineStr">
        <is>
          <t>—</t>
        </is>
      </c>
    </row>
    <row r="35" ht="39.75" customHeight="1" s="1">
      <c r="A35" s="70" t="inlineStr">
        <is>
          <t>D4 End-user responsibility</t>
        </is>
      </c>
      <c r="B35" s="65" t="inlineStr">
        <is>
          <t>D4.3</t>
        </is>
      </c>
      <c r="C35" s="66" t="inlineStr">
        <is>
          <t>Oversight training</t>
        </is>
      </c>
      <c r="D35" s="66" t="inlineStr">
        <is>
          <t>Build competent human oversight</t>
        </is>
      </c>
      <c r="E35" s="66" t="inlineStr">
        <is>
          <t>Capabilities &amp; Competency</t>
        </is>
      </c>
      <c r="F35" s="66" t="inlineStr">
        <is>
          <t>A.4 Resources</t>
        </is>
      </c>
      <c r="G35" s="66" t="inlineStr">
        <is>
          <t>GOVERN 2.2</t>
        </is>
      </c>
      <c r="H35" s="66" t="inlineStr">
        <is>
          <t>Model Owner / HR (capability)</t>
        </is>
      </c>
      <c r="I35" s="66" t="inlineStr">
        <is>
          <t>Not started</t>
        </is>
      </c>
      <c r="J35" s="67" t="n"/>
      <c r="K35" s="66" t="n"/>
      <c r="L35" s="66" t="n"/>
      <c r="M35" s="66" t="n"/>
      <c r="N35" s="66" t="n"/>
      <c r="O35" s="67" t="n">
        <v>4</v>
      </c>
      <c r="P35" s="67">
        <f>IF(J35="","",O35*J35)</f>
        <v/>
      </c>
      <c r="Q35" s="66" t="inlineStr">
        <is>
          <t>Play 11</t>
        </is>
      </c>
      <c r="R35" s="66" t="inlineStr">
        <is>
          <t>MAS M1.5, M4.1</t>
        </is>
      </c>
      <c r="S35" s="66" t="n"/>
      <c r="T35" s="66" t="n"/>
      <c r="U35" s="66" t="inlineStr">
        <is>
          <t>—</t>
        </is>
      </c>
    </row>
    <row r="36" ht="39.75" customHeight="1" s="1">
      <c r="A36" s="70" t="inlineStr">
        <is>
          <t>D4 End-user responsibility</t>
        </is>
      </c>
      <c r="B36" s="65" t="inlineStr">
        <is>
          <t>D4.4  ★</t>
        </is>
      </c>
      <c r="C36" s="66" t="inlineStr">
        <is>
          <t>Tradecraft preservation</t>
        </is>
      </c>
      <c r="D36" s="66" t="inlineStr">
        <is>
          <t>Keep humans able to take over</t>
        </is>
      </c>
      <c r="E36" s="66" t="inlineStr">
        <is>
          <t>Capabilities &amp; Competency</t>
        </is>
      </c>
      <c r="F36" s="66" t="inlineStr">
        <is>
          <t>A.4 Resources</t>
        </is>
      </c>
      <c r="G36" s="66" t="inlineStr">
        <is>
          <t>GOVERN 2.2; MANAGE 4.1</t>
        </is>
      </c>
      <c r="H36" s="66" t="inlineStr">
        <is>
          <t>Model Owner / HR (capability)</t>
        </is>
      </c>
      <c r="I36" s="66" t="inlineStr">
        <is>
          <t>Not started</t>
        </is>
      </c>
      <c r="J36" s="67" t="n"/>
      <c r="K36" s="66" t="n"/>
      <c r="L36" s="66" t="n"/>
      <c r="M36" s="66" t="n"/>
      <c r="N36" s="66" t="n"/>
      <c r="O36" s="67" t="n">
        <v>3</v>
      </c>
      <c r="P36" s="67">
        <f>IF(J36="","",O36*J36)</f>
        <v/>
      </c>
      <c r="Q36" s="66" t="inlineStr">
        <is>
          <t>Play 11</t>
        </is>
      </c>
      <c r="R36" s="66" t="inlineStr">
        <is>
          <t>MAS M1.5</t>
        </is>
      </c>
      <c r="S36" s="66" t="n"/>
      <c r="T36" s="66" t="n"/>
      <c r="U36" s="66" t="inlineStr">
        <is>
          <t>—</t>
        </is>
      </c>
    </row>
    <row r="37" ht="39.75" customHeight="1" s="1">
      <c r="A37" s="70" t="inlineStr">
        <is>
          <t>D4 End-user responsibility</t>
        </is>
      </c>
      <c r="B37" s="65" t="inlineStr">
        <is>
          <t>D4.5</t>
        </is>
      </c>
      <c r="C37" s="66" t="inlineStr">
        <is>
          <t>End-user as auditor / red-teamer</t>
        </is>
      </c>
      <c r="D37" s="66" t="inlineStr">
        <is>
          <t>Add a human assurance layer</t>
        </is>
      </c>
      <c r="E37" s="66" t="inlineStr">
        <is>
          <t>Capabilities &amp; Competency</t>
        </is>
      </c>
      <c r="F37" s="66" t="inlineStr">
        <is>
          <t>A.6 AI system life cycle</t>
        </is>
      </c>
      <c r="G37" s="66" t="inlineStr">
        <is>
          <t>MEASURE 1.1; MANAGE 4.3</t>
        </is>
      </c>
      <c r="H37" s="66" t="inlineStr">
        <is>
          <t>InfoSec / AI Risk</t>
        </is>
      </c>
      <c r="I37" s="66" t="inlineStr">
        <is>
          <t>Not started</t>
        </is>
      </c>
      <c r="J37" s="67" t="n"/>
      <c r="K37" s="66" t="n"/>
      <c r="L37" s="66" t="n"/>
      <c r="M37" s="66" t="n"/>
      <c r="N37" s="66" t="n"/>
      <c r="O37" s="67" t="n">
        <v>3</v>
      </c>
      <c r="P37" s="67">
        <f>IF(J37="","",O37*J37)</f>
        <v/>
      </c>
      <c r="Q37" s="66" t="inlineStr">
        <is>
          <t>Play 10, 11</t>
        </is>
      </c>
      <c r="R37" s="66" t="inlineStr">
        <is>
          <t>MAS M3.6</t>
        </is>
      </c>
      <c r="S37" s="66" t="n"/>
      <c r="T37" s="66" t="n"/>
      <c r="U37" s="66" t="inlineStr">
        <is>
          <t>—</t>
        </is>
      </c>
    </row>
    <row r="39" ht="15" customHeight="1" s="1">
      <c r="A39" s="71" t="inlineStr">
        <is>
          <t>★ = control emphasised in IMDA MGF for Agentic AI v1.0 (Jan 2026), updated 20 May 2026. Weight = criticality (seeded default, tune to risk appetite). Weighted maturity = Weight × Maturity.</t>
        </is>
      </c>
    </row>
  </sheetData>
  <autoFilter ref="A3:T37"/>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10.xml><?xml version="1.0" encoding="utf-8"?>
<worksheet xmlns="http://schemas.openxmlformats.org/spreadsheetml/2006/main">
  <sheetPr filterMode="0">
    <outlinePr applyStyles="0" summaryBelow="1" summaryRight="1" showOutlineSymbols="1"/>
    <pageSetUpPr autoPageBreaks="1" fitToPage="0"/>
  </sheetPr>
  <dimension ref="A1:V27"/>
  <sheetViews>
    <sheetView showFormulas="0" showGridLines="1" showRowColHeaders="1" showZeros="1" rightToLeft="0" view="normal" zoomScale="100" workbookViewId="0">
      <pane xSplit="2" ySplit="3" topLeftCell="C4" activePane="bottomRight" state="frozen"/>
      <selection activeCell="A1" activeCellId="0" sqref="A1"/>
    </sheetView>
  </sheetViews>
  <sheetFormatPr baseColWidth="8" defaultColWidth="8.6796875" defaultRowHeight="14.25"/>
  <cols>
    <col width="20" customWidth="1" style="1" min="1" max="1"/>
    <col width="13" customWidth="1" style="1" min="2" max="2"/>
    <col width="32" customWidth="1" style="1" min="3" max="3"/>
    <col width="26" customWidth="1" style="1" min="4" max="4"/>
    <col width="22" customWidth="1" style="1" min="5" max="6"/>
    <col width="20" customWidth="1" style="1" min="7" max="7"/>
    <col width="18" customWidth="1" style="1" min="8" max="8"/>
    <col width="16" customWidth="1" style="1" min="9" max="9"/>
    <col width="11" customWidth="1" style="1" min="10" max="10"/>
    <col width="20" customWidth="1" style="1" min="11" max="11"/>
    <col width="13" customWidth="1" style="1" min="12" max="13"/>
    <col width="24" customWidth="1" style="1" min="14" max="14"/>
    <col width="9" customWidth="1" style="1" min="15" max="15"/>
    <col width="11" customWidth="1" style="1" min="16" max="16"/>
    <col width="16" customWidth="1" style="1" min="17" max="17"/>
    <col width="15" customWidth="1" style="1" min="18" max="18"/>
    <col width="30" customWidth="1" style="1" min="19" max="19"/>
    <col width="24" customWidth="1" style="1" min="20" max="20"/>
    <col width="30" customWidth="1" style="1" min="21" max="21"/>
    <col width="26" customWidth="1" style="1" min="22" max="22"/>
  </cols>
  <sheetData>
    <row r="1" ht="15.75" customHeight="1" s="1">
      <c r="A1" s="62" t="inlineStr">
        <is>
          <t>Control Library - SAFR (Safeguards for Agentic Finance at Runtime) — Control Tracker</t>
        </is>
      </c>
    </row>
    <row r="3" ht="34.5" customHeight="1" s="1">
      <c r="A3" s="72" t="inlineStr">
        <is>
          <t>Dimension</t>
        </is>
      </c>
      <c r="B3" s="72" t="inlineStr">
        <is>
          <t>SAFR Control ID</t>
        </is>
      </c>
      <c r="C3" s="72" t="inlineStr">
        <is>
          <t>Control / recommended measure</t>
        </is>
      </c>
      <c r="D3" s="72" t="inlineStr">
        <is>
          <t>Objective — what it bounds</t>
        </is>
      </c>
      <c r="E3" s="72" t="inlineStr">
        <is>
          <t>MAS AIRG theme</t>
        </is>
      </c>
      <c r="F3" s="72" t="inlineStr">
        <is>
          <t>ISO/IEC 42001 Annex A</t>
        </is>
      </c>
      <c r="G3" s="72" t="inlineStr">
        <is>
          <t>NIST AI RMF</t>
        </is>
      </c>
      <c r="H3" s="72" t="inlineStr">
        <is>
          <t>Owner (role)</t>
        </is>
      </c>
      <c r="I3" s="72" t="inlineStr">
        <is>
          <t>Status</t>
        </is>
      </c>
      <c r="J3" s="72" t="inlineStr">
        <is>
          <t>Maturity (1-5)</t>
        </is>
      </c>
      <c r="K3" s="72" t="inlineStr">
        <is>
          <t>Evidence / artifact</t>
        </is>
      </c>
      <c r="L3" s="72" t="inlineStr">
        <is>
          <t>Last reviewed</t>
        </is>
      </c>
      <c r="M3" s="72" t="inlineStr">
        <is>
          <t>Next review</t>
        </is>
      </c>
      <c r="N3" s="72" t="inlineStr">
        <is>
          <t>Gap / notes</t>
        </is>
      </c>
      <c r="O3" s="72" t="inlineStr">
        <is>
          <t>Weight (1-5)</t>
        </is>
      </c>
      <c r="P3" s="72" t="inlineStr">
        <is>
          <t>Weighted maturity</t>
        </is>
      </c>
      <c r="Q3" s="72" t="inlineStr">
        <is>
          <t>Linked play</t>
        </is>
      </c>
      <c r="R3" s="72" t="inlineStr">
        <is>
          <t>Linked stress test</t>
        </is>
      </c>
      <c r="S3" s="72" t="inlineStr">
        <is>
          <t>Linked MAS | MGF</t>
        </is>
      </c>
      <c r="T3" s="72" t="inlineStr">
        <is>
          <t>Test of Design</t>
        </is>
      </c>
      <c r="U3" s="72" t="inlineStr">
        <is>
          <t>Test of Operating Effectiveness</t>
        </is>
      </c>
      <c r="V3" s="72" t="inlineStr">
        <is>
          <t>Linked CSA PA</t>
        </is>
      </c>
    </row>
    <row r="4" ht="32.25" customHeight="1" s="1">
      <c r="A4" s="64" t="inlineStr">
        <is>
          <t>S1 Policy-bound execution</t>
        </is>
      </c>
      <c r="B4" s="73" t="inlineStr">
        <is>
          <t>S1.1  ★</t>
        </is>
      </c>
      <c r="C4" s="66" t="inlineStr">
        <is>
          <t>Agent identity &amp; registration</t>
        </is>
      </c>
      <c r="D4" s="66" t="inlineStr">
        <is>
          <t>Ensure every acting agent is uniquely identified and registered before it can transact</t>
        </is>
      </c>
      <c r="E4" s="66" t="inlineStr">
        <is>
          <t>AI Inventory &amp; Materiality</t>
        </is>
      </c>
      <c r="F4" s="66" t="inlineStr">
        <is>
          <t>A.3 Roles &amp; responsibilities; A.9 Use of AI systems</t>
        </is>
      </c>
      <c r="G4" s="66" t="inlineStr">
        <is>
          <t>GOVERN 2.1; MAP 1.1</t>
        </is>
      </c>
      <c r="H4" s="66" t="inlineStr">
        <is>
          <t>InfoSec / AI Risk (2nd line)</t>
        </is>
      </c>
      <c r="I4" s="66" t="inlineStr">
        <is>
          <t>Not started</t>
        </is>
      </c>
      <c r="J4" s="74" t="n"/>
      <c r="K4" s="66" t="n"/>
      <c r="L4" s="74" t="n"/>
      <c r="M4" s="74" t="n"/>
      <c r="N4" s="66" t="n"/>
      <c r="O4" s="74" t="n">
        <v>5</v>
      </c>
      <c r="P4" s="74">
        <f>IF(J4="","",O4*J4)</f>
        <v/>
      </c>
      <c r="Q4" s="66" t="inlineStr">
        <is>
          <t>Play 1, 11</t>
        </is>
      </c>
      <c r="R4" s="66" t="n"/>
      <c r="S4" s="66" t="inlineStr">
        <is>
          <t>MAS F3 | MGF D1.5</t>
        </is>
      </c>
      <c r="T4" s="66" t="n"/>
      <c r="U4" s="66" t="n"/>
      <c r="V4" s="66" t="inlineStr">
        <is>
          <t>PA 3</t>
        </is>
      </c>
    </row>
    <row r="5" ht="42.75" customHeight="1" s="1">
      <c r="A5" s="64" t="inlineStr">
        <is>
          <t>S1 Policy-bound execution</t>
        </is>
      </c>
      <c r="B5" s="73" t="inlineStr">
        <is>
          <t>S1.2  ★</t>
        </is>
      </c>
      <c r="C5" s="66" t="inlineStr">
        <is>
          <t>Agent mandate definition</t>
        </is>
      </c>
      <c r="D5" s="66" t="inlineStr">
        <is>
          <t>Grant each agent an explicit, bounded authority — permitted actions, counterparties, value/exposure limits</t>
        </is>
      </c>
      <c r="E5" s="66" t="inlineStr">
        <is>
          <t>Lifecycle: Development &amp; Validation</t>
        </is>
      </c>
      <c r="F5" s="66" t="inlineStr">
        <is>
          <t>A.6 AI system life cycle; A.9</t>
        </is>
      </c>
      <c r="G5" s="66" t="inlineStr">
        <is>
          <t>GOVERN 1.3; MANAGE 1.3</t>
        </is>
      </c>
      <c r="H5" s="66" t="inlineStr">
        <is>
          <t>Model Owner / AI Risk (2nd line)</t>
        </is>
      </c>
      <c r="I5" s="66" t="inlineStr">
        <is>
          <t>Not started</t>
        </is>
      </c>
      <c r="J5" s="74" t="n"/>
      <c r="K5" s="66" t="n"/>
      <c r="L5" s="74" t="n"/>
      <c r="M5" s="74" t="n"/>
      <c r="N5" s="66" t="n"/>
      <c r="O5" s="74" t="n">
        <v>5</v>
      </c>
      <c r="P5" s="74">
        <f>IF(J5="","",O5*J5)</f>
        <v/>
      </c>
      <c r="Q5" s="66" t="inlineStr">
        <is>
          <t>Play 3, 11</t>
        </is>
      </c>
      <c r="R5" s="66" t="inlineStr">
        <is>
          <t>ST-13</t>
        </is>
      </c>
      <c r="S5" s="66" t="inlineStr">
        <is>
          <t>MAS M2.3 | MGF D1.3, D2.1</t>
        </is>
      </c>
      <c r="T5" s="66" t="n"/>
      <c r="U5" s="66" t="n"/>
      <c r="V5" s="66" t="inlineStr">
        <is>
          <t>PA 3</t>
        </is>
      </c>
    </row>
    <row r="6" ht="42.75" customHeight="1" s="1">
      <c r="A6" s="64" t="inlineStr">
        <is>
          <t>S1 Policy-bound execution</t>
        </is>
      </c>
      <c r="B6" s="73" t="inlineStr">
        <is>
          <t>S1.3  ★</t>
        </is>
      </c>
      <c r="C6" s="66" t="inlineStr">
        <is>
          <t>Institutional controls repository</t>
        </is>
      </c>
      <c r="D6" s="66" t="inlineStr">
        <is>
          <t>Encode policies, rules and risk thresholds in a queryable repository the runtime checks against</t>
        </is>
      </c>
      <c r="E6" s="66" t="inlineStr">
        <is>
          <t>Governance &amp; Oversight</t>
        </is>
      </c>
      <c r="F6" s="66" t="inlineStr">
        <is>
          <t>A.2 AI policy; A.4 Resources</t>
        </is>
      </c>
      <c r="G6" s="66" t="inlineStr">
        <is>
          <t>GOVERN 1.1, 4.1</t>
        </is>
      </c>
      <c r="H6" s="66" t="inlineStr">
        <is>
          <t>AI Risk (2nd line)</t>
        </is>
      </c>
      <c r="I6" s="66" t="inlineStr">
        <is>
          <t>Not started</t>
        </is>
      </c>
      <c r="J6" s="74" t="n"/>
      <c r="K6" s="66" t="n"/>
      <c r="L6" s="74" t="n"/>
      <c r="M6" s="74" t="n"/>
      <c r="N6" s="66" t="n"/>
      <c r="O6" s="74" t="n">
        <v>5</v>
      </c>
      <c r="P6" s="74">
        <f>IF(J6="","",O6*J6)</f>
        <v/>
      </c>
      <c r="Q6" s="66" t="inlineStr">
        <is>
          <t>Play 11</t>
        </is>
      </c>
      <c r="R6" s="66" t="inlineStr">
        <is>
          <t>ST-13</t>
        </is>
      </c>
      <c r="S6" s="66" t="inlineStr">
        <is>
          <t>MAS M3.7 | MGF D3.1</t>
        </is>
      </c>
      <c r="T6" s="66" t="n"/>
      <c r="U6" s="66" t="n"/>
      <c r="V6" s="66" t="inlineStr">
        <is>
          <t>—</t>
        </is>
      </c>
    </row>
    <row r="7" ht="32.25" customHeight="1" s="1">
      <c r="A7" s="64" t="inlineStr">
        <is>
          <t>S1 Policy-bound execution</t>
        </is>
      </c>
      <c r="B7" s="73" t="inlineStr">
        <is>
          <t>S1.4  ★</t>
        </is>
      </c>
      <c r="C7" s="66" t="inlineStr">
        <is>
          <t>Pre-execution authority check</t>
        </is>
      </c>
      <c r="D7" s="66" t="inlineStr">
        <is>
          <t>Test every proposed action against the agent's mandate before it executes</t>
        </is>
      </c>
      <c r="E7" s="66" t="inlineStr">
        <is>
          <t>Governance &amp; Oversight</t>
        </is>
      </c>
      <c r="F7" s="66" t="inlineStr">
        <is>
          <t>A.9 Use of AI systems</t>
        </is>
      </c>
      <c r="G7" s="66" t="inlineStr">
        <is>
          <t>MANAGE 2.3; MEASURE 3.1</t>
        </is>
      </c>
      <c r="H7" s="66" t="inlineStr">
        <is>
          <t>InfoSec / Model Owner</t>
        </is>
      </c>
      <c r="I7" s="66" t="inlineStr">
        <is>
          <t>Not started</t>
        </is>
      </c>
      <c r="J7" s="74" t="n"/>
      <c r="K7" s="66" t="n"/>
      <c r="L7" s="74" t="n"/>
      <c r="M7" s="74" t="n"/>
      <c r="N7" s="66" t="n"/>
      <c r="O7" s="74" t="n">
        <v>5</v>
      </c>
      <c r="P7" s="74">
        <f>IF(J7="","",O7*J7)</f>
        <v/>
      </c>
      <c r="Q7" s="66" t="inlineStr">
        <is>
          <t>Play 11</t>
        </is>
      </c>
      <c r="R7" s="66" t="inlineStr">
        <is>
          <t>ST-13</t>
        </is>
      </c>
      <c r="S7" s="66" t="inlineStr">
        <is>
          <t>MAS M3.7 | MGF D1.4, D3.1, D3.7</t>
        </is>
      </c>
      <c r="T7" s="66" t="n"/>
      <c r="U7" s="66" t="n"/>
      <c r="V7" s="66" t="inlineStr">
        <is>
          <t>PA 3</t>
        </is>
      </c>
    </row>
    <row r="8" ht="32.25" customHeight="1" s="1">
      <c r="A8" s="64" t="inlineStr">
        <is>
          <t>S1 Policy-bound execution</t>
        </is>
      </c>
      <c r="B8" s="73" t="inlineStr">
        <is>
          <t>S1.5</t>
        </is>
      </c>
      <c r="C8" s="66" t="inlineStr">
        <is>
          <t>Risk-threshold binding</t>
        </is>
      </c>
      <c r="D8" s="66" t="inlineStr">
        <is>
          <t>Bind monetary, exposure and sensitivity thresholds to the pre-execution check</t>
        </is>
      </c>
      <c r="E8" s="66" t="inlineStr">
        <is>
          <t>AI Inventory &amp; Materiality</t>
        </is>
      </c>
      <c r="F8" s="66" t="inlineStr">
        <is>
          <t>A.5 Impact assessment</t>
        </is>
      </c>
      <c r="G8" s="66" t="inlineStr">
        <is>
          <t>MAP 2.3; MANAGE 1.3</t>
        </is>
      </c>
      <c r="H8" s="66" t="inlineStr">
        <is>
          <t>AI Risk (2nd line) / Model Owner</t>
        </is>
      </c>
      <c r="I8" s="66" t="inlineStr">
        <is>
          <t>Not started</t>
        </is>
      </c>
      <c r="J8" s="74" t="n"/>
      <c r="K8" s="66" t="n"/>
      <c r="L8" s="74" t="n"/>
      <c r="M8" s="74" t="n"/>
      <c r="N8" s="66" t="n"/>
      <c r="O8" s="74" t="n">
        <v>4</v>
      </c>
      <c r="P8" s="74">
        <f>IF(J8="","",O8*J8)</f>
        <v/>
      </c>
      <c r="Q8" s="66" t="inlineStr">
        <is>
          <t>Play 1, 11</t>
        </is>
      </c>
      <c r="R8" s="66" t="n"/>
      <c r="S8" s="66" t="inlineStr">
        <is>
          <t>MAS M2.3 | MGF D1.1</t>
        </is>
      </c>
      <c r="T8" s="66" t="n"/>
      <c r="U8" s="66" t="n"/>
      <c r="V8" s="66" t="inlineStr">
        <is>
          <t>—</t>
        </is>
      </c>
    </row>
    <row r="9" ht="32.25" customHeight="1" s="1">
      <c r="A9" s="64" t="inlineStr">
        <is>
          <t>S2 Real-time validation</t>
        </is>
      </c>
      <c r="B9" s="73" t="inlineStr">
        <is>
          <t>S2.1  ★</t>
        </is>
      </c>
      <c r="C9" s="66" t="inlineStr">
        <is>
          <t>Disposition engine</t>
        </is>
      </c>
      <c r="D9" s="66" t="inlineStr">
        <is>
          <t>Evaluate each proposed action at runtime and assign a disposition before execution</t>
        </is>
      </c>
      <c r="E9" s="66" t="inlineStr">
        <is>
          <t>Governance &amp; Oversight</t>
        </is>
      </c>
      <c r="F9" s="66" t="inlineStr">
        <is>
          <t>A.6 AI system life cycle; A.9</t>
        </is>
      </c>
      <c r="G9" s="66" t="inlineStr">
        <is>
          <t>MEASURE 2.7; MANAGE 2.3</t>
        </is>
      </c>
      <c r="H9" s="66" t="inlineStr">
        <is>
          <t>InfoSec / Model Owner</t>
        </is>
      </c>
      <c r="I9" s="66" t="inlineStr">
        <is>
          <t>Not started</t>
        </is>
      </c>
      <c r="J9" s="74" t="n"/>
      <c r="K9" s="66" t="n"/>
      <c r="L9" s="74" t="n"/>
      <c r="M9" s="74" t="n"/>
      <c r="N9" s="66" t="n"/>
      <c r="O9" s="74" t="n">
        <v>5</v>
      </c>
      <c r="P9" s="74">
        <f>IF(J9="","",O9*J9)</f>
        <v/>
      </c>
      <c r="Q9" s="66" t="inlineStr">
        <is>
          <t>Play 11</t>
        </is>
      </c>
      <c r="R9" s="66" t="inlineStr">
        <is>
          <t>ST-11</t>
        </is>
      </c>
      <c r="S9" s="66" t="inlineStr">
        <is>
          <t>MAS M3.4 | MGF D3.11</t>
        </is>
      </c>
      <c r="T9" s="66" t="n"/>
      <c r="U9" s="66" t="n"/>
      <c r="V9" s="66" t="inlineStr">
        <is>
          <t>PA 10</t>
        </is>
      </c>
    </row>
    <row r="10" ht="21.75" customHeight="1" s="1">
      <c r="A10" s="64" t="inlineStr">
        <is>
          <t>S2 Real-time validation</t>
        </is>
      </c>
      <c r="B10" s="73" t="inlineStr">
        <is>
          <t>S2.2</t>
        </is>
      </c>
      <c r="C10" s="66" t="inlineStr">
        <is>
          <t>Automated approval path</t>
        </is>
      </c>
      <c r="D10" s="66" t="inlineStr">
        <is>
          <t>Auto-execute actions that fall within mandate and thresholds</t>
        </is>
      </c>
      <c r="E10" s="66" t="inlineStr">
        <is>
          <t>Lifecycle: Deployment</t>
        </is>
      </c>
      <c r="F10" s="66" t="inlineStr">
        <is>
          <t>A.9 Use of AI systems</t>
        </is>
      </c>
      <c r="G10" s="66" t="inlineStr">
        <is>
          <t>MANAGE 2.4</t>
        </is>
      </c>
      <c r="H10" s="66" t="inlineStr">
        <is>
          <t>Model Owner</t>
        </is>
      </c>
      <c r="I10" s="66" t="inlineStr">
        <is>
          <t>Not started</t>
        </is>
      </c>
      <c r="J10" s="74" t="n"/>
      <c r="K10" s="66" t="n"/>
      <c r="L10" s="74" t="n"/>
      <c r="M10" s="74" t="n"/>
      <c r="N10" s="66" t="n"/>
      <c r="O10" s="74" t="n">
        <v>3</v>
      </c>
      <c r="P10" s="74">
        <f>IF(J10="","",O10*J10)</f>
        <v/>
      </c>
      <c r="Q10" s="66" t="inlineStr">
        <is>
          <t>Play 11</t>
        </is>
      </c>
      <c r="R10" s="66" t="n"/>
      <c r="S10" s="66" t="inlineStr">
        <is>
          <t>MAS M3.4 | MGF D2.3</t>
        </is>
      </c>
      <c r="T10" s="66" t="n"/>
      <c r="U10" s="66" t="n"/>
      <c r="V10" s="66" t="inlineStr">
        <is>
          <t>—</t>
        </is>
      </c>
    </row>
    <row r="11" ht="42.75" customHeight="1" s="1">
      <c r="A11" s="64" t="inlineStr">
        <is>
          <t>S2 Real-time validation</t>
        </is>
      </c>
      <c r="B11" s="73" t="inlineStr">
        <is>
          <t>S2.3  ★</t>
        </is>
      </c>
      <c r="C11" s="66" t="inlineStr">
        <is>
          <t>Human-in-the-loop escalation</t>
        </is>
      </c>
      <c r="D11" s="66" t="inlineStr">
        <is>
          <t>Route out-of-bounds or ambiguous actions to a named human for review before execution</t>
        </is>
      </c>
      <c r="E11" s="66" t="inlineStr">
        <is>
          <t>Human Oversight</t>
        </is>
      </c>
      <c r="F11" s="66" t="inlineStr">
        <is>
          <t>A.9; A.8 Information for interested parties</t>
        </is>
      </c>
      <c r="G11" s="66" t="inlineStr">
        <is>
          <t>GOVERN 4.1; MANAGE 2.3</t>
        </is>
      </c>
      <c r="H11" s="66" t="inlineStr">
        <is>
          <t>Model Owner / AI Risk Committee</t>
        </is>
      </c>
      <c r="I11" s="66" t="inlineStr">
        <is>
          <t>Not started</t>
        </is>
      </c>
      <c r="J11" s="74" t="n"/>
      <c r="K11" s="66" t="n"/>
      <c r="L11" s="74" t="n"/>
      <c r="M11" s="74" t="n"/>
      <c r="N11" s="66" t="n"/>
      <c r="O11" s="74" t="n">
        <v>5</v>
      </c>
      <c r="P11" s="74">
        <f>IF(J11="","",O11*J11)</f>
        <v/>
      </c>
      <c r="Q11" s="66" t="inlineStr">
        <is>
          <t>Play 11</t>
        </is>
      </c>
      <c r="R11" s="66" t="n"/>
      <c r="S11" s="66" t="inlineStr">
        <is>
          <t>MAS M3.4 | MGF D2.3, D2.4</t>
        </is>
      </c>
      <c r="T11" s="66" t="n"/>
      <c r="U11" s="66" t="n"/>
      <c r="V11" s="66" t="inlineStr">
        <is>
          <t>PA 3, PA 10</t>
        </is>
      </c>
    </row>
    <row r="12" ht="21.75" customHeight="1" s="1">
      <c r="A12" s="64" t="inlineStr">
        <is>
          <t>S2 Real-time validation</t>
        </is>
      </c>
      <c r="B12" s="73" t="inlineStr">
        <is>
          <t>S2.4</t>
        </is>
      </c>
      <c r="C12" s="66" t="inlineStr">
        <is>
          <t>Reject / block path</t>
        </is>
      </c>
      <c r="D12" s="66" t="inlineStr">
        <is>
          <t>Block actions outside mandate at the point of action</t>
        </is>
      </c>
      <c r="E12" s="66" t="inlineStr">
        <is>
          <t>Governance &amp; Oversight</t>
        </is>
      </c>
      <c r="F12" s="66" t="inlineStr">
        <is>
          <t>A.9 Use of AI systems</t>
        </is>
      </c>
      <c r="G12" s="66" t="inlineStr">
        <is>
          <t>MANAGE 2.3</t>
        </is>
      </c>
      <c r="H12" s="66" t="inlineStr">
        <is>
          <t>InfoSec</t>
        </is>
      </c>
      <c r="I12" s="66" t="inlineStr">
        <is>
          <t>Not started</t>
        </is>
      </c>
      <c r="J12" s="74" t="n"/>
      <c r="K12" s="66" t="n"/>
      <c r="L12" s="74" t="n"/>
      <c r="M12" s="74" t="n"/>
      <c r="N12" s="66" t="n"/>
      <c r="O12" s="74" t="n">
        <v>4</v>
      </c>
      <c r="P12" s="74">
        <f>IF(J12="","",O12*J12)</f>
        <v/>
      </c>
      <c r="Q12" s="66" t="inlineStr">
        <is>
          <t>Play 6, 11</t>
        </is>
      </c>
      <c r="R12" s="66" t="n"/>
      <c r="S12" s="66" t="inlineStr">
        <is>
          <t>MAS M3.11 | MGF D3.3</t>
        </is>
      </c>
      <c r="T12" s="66" t="n"/>
      <c r="U12" s="66" t="n"/>
      <c r="V12" s="66" t="inlineStr">
        <is>
          <t>PA 10</t>
        </is>
      </c>
    </row>
    <row r="13" ht="32.25" customHeight="1" s="1">
      <c r="A13" s="64" t="inlineStr">
        <is>
          <t>S2 Real-time validation</t>
        </is>
      </c>
      <c r="B13" s="73" t="inlineStr">
        <is>
          <t>S2.5</t>
        </is>
      </c>
      <c r="C13" s="66" t="inlineStr">
        <is>
          <t>Proceed-and-flag path</t>
        </is>
      </c>
      <c r="D13" s="66" t="inlineStr">
        <is>
          <t>Permit lower-risk actions to proceed while flagging them for monitoring</t>
        </is>
      </c>
      <c r="E13" s="66" t="inlineStr">
        <is>
          <t>Monitoring</t>
        </is>
      </c>
      <c r="F13" s="66" t="inlineStr">
        <is>
          <t>A.6 AI system life cycle</t>
        </is>
      </c>
      <c r="G13" s="66" t="inlineStr">
        <is>
          <t>MEASURE 4.1; MANAGE 4.1</t>
        </is>
      </c>
      <c r="H13" s="66" t="inlineStr">
        <is>
          <t>Model Owner / AI Risk (2nd line)</t>
        </is>
      </c>
      <c r="I13" s="66" t="inlineStr">
        <is>
          <t>Not started</t>
        </is>
      </c>
      <c r="J13" s="74" t="n"/>
      <c r="K13" s="66" t="n"/>
      <c r="L13" s="74" t="n"/>
      <c r="M13" s="74" t="n"/>
      <c r="N13" s="66" t="n"/>
      <c r="O13" s="74" t="n">
        <v>3</v>
      </c>
      <c r="P13" s="74">
        <f>IF(J13="","",O13*J13)</f>
        <v/>
      </c>
      <c r="Q13" s="66" t="inlineStr">
        <is>
          <t>Play 5, 11</t>
        </is>
      </c>
      <c r="R13" s="66" t="n"/>
      <c r="S13" s="66" t="inlineStr">
        <is>
          <t>MAS M3.10 | MGF D3.11, D3.12</t>
        </is>
      </c>
      <c r="T13" s="66" t="n"/>
      <c r="U13" s="66" t="n"/>
      <c r="V13" s="66" t="inlineStr">
        <is>
          <t>PA 9</t>
        </is>
      </c>
    </row>
    <row r="14" ht="32.25" customHeight="1" s="1">
      <c r="A14" s="64" t="inlineStr">
        <is>
          <t>S2 Real-time validation</t>
        </is>
      </c>
      <c r="B14" s="73" t="inlineStr">
        <is>
          <t>S2.6</t>
        </is>
      </c>
      <c r="C14" s="66" t="inlineStr">
        <is>
          <t>Checkpoint resilience</t>
        </is>
      </c>
      <c r="D14" s="66" t="inlineStr">
        <is>
          <t>Ensure the runtime checkpoint is highly available and not itself a single point of failure</t>
        </is>
      </c>
      <c r="E14" s="66" t="inlineStr">
        <is>
          <t>Operational Resilience</t>
        </is>
      </c>
      <c r="F14" s="66" t="inlineStr">
        <is>
          <t>A.6; A.4 Resources</t>
        </is>
      </c>
      <c r="G14" s="66" t="inlineStr">
        <is>
          <t>MANAGE 2.4; MEASURE 2.7</t>
        </is>
      </c>
      <c r="H14" s="66" t="inlineStr">
        <is>
          <t>InfoSec / Technology</t>
        </is>
      </c>
      <c r="I14" s="66" t="inlineStr">
        <is>
          <t>Not started</t>
        </is>
      </c>
      <c r="J14" s="74" t="n"/>
      <c r="K14" s="66" t="n"/>
      <c r="L14" s="74" t="n"/>
      <c r="M14" s="74" t="n"/>
      <c r="N14" s="66" t="n"/>
      <c r="O14" s="74" t="n">
        <v>4</v>
      </c>
      <c r="P14" s="74">
        <f>IF(J14="","",O14*J14)</f>
        <v/>
      </c>
      <c r="Q14" s="66" t="inlineStr">
        <is>
          <t>Play 5, 11</t>
        </is>
      </c>
      <c r="R14" s="66" t="inlineStr">
        <is>
          <t>ST-11</t>
        </is>
      </c>
      <c r="S14" s="66" t="inlineStr">
        <is>
          <t>MAS M3.10 | MGF D3.16</t>
        </is>
      </c>
      <c r="T14" s="66" t="n"/>
      <c r="U14" s="66" t="n"/>
      <c r="V14" s="66" t="inlineStr">
        <is>
          <t>—</t>
        </is>
      </c>
    </row>
    <row r="15" ht="32.25" customHeight="1" s="1">
      <c r="A15" s="64" t="inlineStr">
        <is>
          <t>S3 Auditability</t>
        </is>
      </c>
      <c r="B15" s="73" t="inlineStr">
        <is>
          <t>S3.1  ★</t>
        </is>
      </c>
      <c r="C15" s="66" t="inlineStr">
        <is>
          <t>Tamper-evident audit log</t>
        </is>
      </c>
      <c r="D15" s="66" t="inlineStr">
        <is>
          <t>Record each governance decision in an immutable, tamper-evident log</t>
        </is>
      </c>
      <c r="E15" s="66" t="inlineStr">
        <is>
          <t>Records &amp; Auditability</t>
        </is>
      </c>
      <c r="F15" s="66" t="inlineStr">
        <is>
          <t>A.9; A.4 Resources</t>
        </is>
      </c>
      <c r="G15" s="66" t="inlineStr">
        <is>
          <t>MEASURE 3.1; MANAGE 4.1</t>
        </is>
      </c>
      <c r="H15" s="66" t="inlineStr">
        <is>
          <t>InfoSec / Internal Audit</t>
        </is>
      </c>
      <c r="I15" s="66" t="inlineStr">
        <is>
          <t>Not started</t>
        </is>
      </c>
      <c r="J15" s="74" t="n"/>
      <c r="K15" s="66" t="n"/>
      <c r="L15" s="74" t="n"/>
      <c r="M15" s="74" t="n"/>
      <c r="N15" s="66" t="n"/>
      <c r="O15" s="74" t="n">
        <v>5</v>
      </c>
      <c r="P15" s="74">
        <f>IF(J15="","",O15*J15)</f>
        <v/>
      </c>
      <c r="Q15" s="66" t="inlineStr">
        <is>
          <t>Play 11</t>
        </is>
      </c>
      <c r="R15" s="66" t="inlineStr">
        <is>
          <t>ST-12</t>
        </is>
      </c>
      <c r="S15" s="66" t="inlineStr">
        <is>
          <t>MAS M3.8 | MGF D3.6, D3.13</t>
        </is>
      </c>
      <c r="T15" s="66" t="n"/>
      <c r="U15" s="66" t="n"/>
      <c r="V15" s="66" t="inlineStr">
        <is>
          <t>—</t>
        </is>
      </c>
    </row>
    <row r="16" ht="32.25" customHeight="1" s="1">
      <c r="A16" s="64" t="inlineStr">
        <is>
          <t>S3 Auditability</t>
        </is>
      </c>
      <c r="B16" s="73" t="inlineStr">
        <is>
          <t>S3.2</t>
        </is>
      </c>
      <c r="C16" s="66" t="inlineStr">
        <is>
          <t>Decision-record content</t>
        </is>
      </c>
      <c r="D16" s="66" t="inlineStr">
        <is>
          <t>Capture proposed action, rules applied, disposition, agent identity and timestamp per record</t>
        </is>
      </c>
      <c r="E16" s="66" t="inlineStr">
        <is>
          <t>Transparency (FEAT F4)</t>
        </is>
      </c>
      <c r="F16" s="66" t="inlineStr">
        <is>
          <t>A.8; A.9</t>
        </is>
      </c>
      <c r="G16" s="66" t="inlineStr">
        <is>
          <t>MAP 1.1; MEASURE 3.1</t>
        </is>
      </c>
      <c r="H16" s="66" t="inlineStr">
        <is>
          <t>InfoSec / Compliance</t>
        </is>
      </c>
      <c r="I16" s="66" t="inlineStr">
        <is>
          <t>Not started</t>
        </is>
      </c>
      <c r="J16" s="74" t="n"/>
      <c r="K16" s="66" t="n"/>
      <c r="L16" s="74" t="n"/>
      <c r="M16" s="74" t="n"/>
      <c r="N16" s="66" t="n"/>
      <c r="O16" s="74" t="n">
        <v>4</v>
      </c>
      <c r="P16" s="74">
        <f>IF(J16="","",O16*J16)</f>
        <v/>
      </c>
      <c r="Q16" s="66" t="inlineStr">
        <is>
          <t>Play 11</t>
        </is>
      </c>
      <c r="R16" s="66" t="inlineStr">
        <is>
          <t>ST-12</t>
        </is>
      </c>
      <c r="S16" s="66" t="inlineStr">
        <is>
          <t>MAS M3.3, F4 | MGF D2.7, D3.13</t>
        </is>
      </c>
      <c r="T16" s="66" t="n"/>
      <c r="U16" s="66" t="n"/>
      <c r="V16" s="66" t="inlineStr">
        <is>
          <t>—</t>
        </is>
      </c>
    </row>
    <row r="17" ht="32.25" customHeight="1" s="1">
      <c r="A17" s="64" t="inlineStr">
        <is>
          <t>S3 Auditability</t>
        </is>
      </c>
      <c r="B17" s="73" t="inlineStr">
        <is>
          <t>S3.3</t>
        </is>
      </c>
      <c r="C17" s="66" t="inlineStr">
        <is>
          <t>Traceability to mandate &amp; policy version</t>
        </is>
      </c>
      <c r="D17" s="66" t="inlineStr">
        <is>
          <t>Link each record to the controls-repository / mandate version that governed the action</t>
        </is>
      </c>
      <c r="E17" s="66" t="inlineStr">
        <is>
          <t>Accountability (FEAT F3)</t>
        </is>
      </c>
      <c r="F17" s="66" t="inlineStr">
        <is>
          <t>A.6; A.2 AI policy</t>
        </is>
      </c>
      <c r="G17" s="66" t="inlineStr">
        <is>
          <t>GOVERN 1.3; MEASURE 3.1</t>
        </is>
      </c>
      <c r="H17" s="66" t="inlineStr">
        <is>
          <t>AI Risk (2nd line)</t>
        </is>
      </c>
      <c r="I17" s="66" t="inlineStr">
        <is>
          <t>Not started</t>
        </is>
      </c>
      <c r="J17" s="74" t="n"/>
      <c r="K17" s="66" t="n"/>
      <c r="L17" s="74" t="n"/>
      <c r="M17" s="74" t="n"/>
      <c r="N17" s="66" t="n"/>
      <c r="O17" s="74" t="n">
        <v>4</v>
      </c>
      <c r="P17" s="74">
        <f>IF(J17="","",O17*J17)</f>
        <v/>
      </c>
      <c r="Q17" s="66" t="inlineStr">
        <is>
          <t>Play 8, 11</t>
        </is>
      </c>
      <c r="R17" s="66" t="n"/>
      <c r="S17" s="66" t="inlineStr">
        <is>
          <t>MAS F3 | MGF D1.5</t>
        </is>
      </c>
      <c r="T17" s="66" t="n"/>
      <c r="U17" s="66" t="n"/>
      <c r="V17" s="66" t="inlineStr">
        <is>
          <t>—</t>
        </is>
      </c>
    </row>
    <row r="18" ht="32.25" customHeight="1" s="1">
      <c r="A18" s="64" t="inlineStr">
        <is>
          <t>S3 Auditability</t>
        </is>
      </c>
      <c r="B18" s="73" t="inlineStr">
        <is>
          <t>S3.4</t>
        </is>
      </c>
      <c r="C18" s="66" t="inlineStr">
        <is>
          <t>Supervisory &amp; audit evidence</t>
        </is>
      </c>
      <c r="D18" s="66" t="inlineStr">
        <is>
          <t>Make logs retrievable for internal audit, compliance and MAS supervisory review</t>
        </is>
      </c>
      <c r="E18" s="66" t="inlineStr">
        <is>
          <t>Records &amp; Auditability</t>
        </is>
      </c>
      <c r="F18" s="66" t="inlineStr">
        <is>
          <t>A.8; A.9</t>
        </is>
      </c>
      <c r="G18" s="66" t="inlineStr">
        <is>
          <t>GOVERN 1.1; MEASURE 3.1</t>
        </is>
      </c>
      <c r="H18" s="66" t="inlineStr">
        <is>
          <t>Compliance &amp; Legal / Internal Audit</t>
        </is>
      </c>
      <c r="I18" s="66" t="inlineStr">
        <is>
          <t>Not started</t>
        </is>
      </c>
      <c r="J18" s="74" t="n"/>
      <c r="K18" s="66" t="n"/>
      <c r="L18" s="74" t="n"/>
      <c r="M18" s="74" t="n"/>
      <c r="N18" s="66" t="n"/>
      <c r="O18" s="74" t="n">
        <v>4</v>
      </c>
      <c r="P18" s="74">
        <f>IF(J18="","",O18*J18)</f>
        <v/>
      </c>
      <c r="Q18" s="66" t="inlineStr">
        <is>
          <t>Play 8, 11</t>
        </is>
      </c>
      <c r="R18" s="66" t="inlineStr">
        <is>
          <t>ST-12</t>
        </is>
      </c>
      <c r="S18" s="66" t="inlineStr">
        <is>
          <t>MAS M3.8 | MGF D3.13</t>
        </is>
      </c>
      <c r="T18" s="66" t="n"/>
      <c r="U18" s="66" t="n"/>
      <c r="V18" s="66" t="inlineStr">
        <is>
          <t>PA 6</t>
        </is>
      </c>
    </row>
    <row r="19" ht="32.25" customHeight="1" s="1">
      <c r="A19" s="64" t="inlineStr">
        <is>
          <t>S3 Auditability</t>
        </is>
      </c>
      <c r="B19" s="73" t="inlineStr">
        <is>
          <t>S3.5</t>
        </is>
      </c>
      <c r="C19" s="66" t="inlineStr">
        <is>
          <t>Review of flagged actions</t>
        </is>
      </c>
      <c r="D19" s="66" t="inlineStr">
        <is>
          <t>Ensure proceed-and-flag items are actually reviewed and dispositioned post-hoc</t>
        </is>
      </c>
      <c r="E19" s="66" t="inlineStr">
        <is>
          <t>Monitoring</t>
        </is>
      </c>
      <c r="F19" s="66" t="inlineStr">
        <is>
          <t>A.6 AI system life cycle</t>
        </is>
      </c>
      <c r="G19" s="66" t="inlineStr">
        <is>
          <t>MEASURE 4.1; MANAGE 4.1</t>
        </is>
      </c>
      <c r="H19" s="66" t="inlineStr">
        <is>
          <t>AI Risk (2nd line) / Model Owner</t>
        </is>
      </c>
      <c r="I19" s="66" t="inlineStr">
        <is>
          <t>Not started</t>
        </is>
      </c>
      <c r="J19" s="74" t="n"/>
      <c r="K19" s="66" t="n"/>
      <c r="L19" s="74" t="n"/>
      <c r="M19" s="74" t="n"/>
      <c r="N19" s="66" t="n"/>
      <c r="O19" s="74" t="n">
        <v>4</v>
      </c>
      <c r="P19" s="74">
        <f>IF(J19="","",O19*J19)</f>
        <v/>
      </c>
      <c r="Q19" s="66" t="inlineStr">
        <is>
          <t>Play 5, 6</t>
        </is>
      </c>
      <c r="R19" s="66" t="n"/>
      <c r="S19" s="66" t="inlineStr">
        <is>
          <t>MAS M3.10 | MGF D2.5, D3.14, D3.15</t>
        </is>
      </c>
      <c r="T19" s="66" t="n"/>
      <c r="U19" s="66" t="n"/>
      <c r="V19" s="66" t="inlineStr">
        <is>
          <t>—</t>
        </is>
      </c>
    </row>
    <row r="20" ht="32.25" customHeight="1" s="1">
      <c r="A20" s="64" t="inlineStr">
        <is>
          <t>S4 Interoperability</t>
        </is>
      </c>
      <c r="B20" s="73" t="inlineStr">
        <is>
          <t>S4.1</t>
        </is>
      </c>
      <c r="C20" s="66" t="inlineStr">
        <is>
          <t>Integration-model selection</t>
        </is>
      </c>
      <c r="D20" s="66" t="inlineStr">
        <is>
          <t>Document native-embedding vs. gateway-interception choice per agent / system</t>
        </is>
      </c>
      <c r="E20" s="66" t="inlineStr">
        <is>
          <t>Lifecycle: Deployment</t>
        </is>
      </c>
      <c r="F20" s="66" t="inlineStr">
        <is>
          <t>A.6; A.4 Resources</t>
        </is>
      </c>
      <c r="G20" s="66" t="inlineStr">
        <is>
          <t>MAP 1.1; MANAGE 2.4</t>
        </is>
      </c>
      <c r="H20" s="66" t="inlineStr">
        <is>
          <t>InfoSec / Technology</t>
        </is>
      </c>
      <c r="I20" s="66" t="inlineStr">
        <is>
          <t>Not started</t>
        </is>
      </c>
      <c r="J20" s="74" t="n"/>
      <c r="K20" s="66" t="n"/>
      <c r="L20" s="74" t="n"/>
      <c r="M20" s="74" t="n"/>
      <c r="N20" s="66" t="n"/>
      <c r="O20" s="74" t="n">
        <v>3</v>
      </c>
      <c r="P20" s="74">
        <f>IF(J20="","",O20*J20)</f>
        <v/>
      </c>
      <c r="Q20" s="66" t="inlineStr">
        <is>
          <t>Play 3, 11</t>
        </is>
      </c>
      <c r="R20" s="66" t="n"/>
      <c r="S20" s="66" t="inlineStr">
        <is>
          <t>MAS M3.5</t>
        </is>
      </c>
      <c r="T20" s="66" t="n"/>
      <c r="U20" s="66" t="n"/>
      <c r="V20" s="66" t="inlineStr">
        <is>
          <t>—</t>
        </is>
      </c>
    </row>
    <row r="21" ht="42.75" customHeight="1" s="1">
      <c r="A21" s="64" t="inlineStr">
        <is>
          <t>S4 Interoperability</t>
        </is>
      </c>
      <c r="B21" s="73" t="inlineStr">
        <is>
          <t>S4.2</t>
        </is>
      </c>
      <c r="C21" s="66" t="inlineStr">
        <is>
          <t>Gateway interception of actions</t>
        </is>
      </c>
      <c r="D21" s="66" t="inlineStr">
        <is>
          <t>Provide an API-level chokepoint that intercepts outbound agent actions where native embedding isn't feasible</t>
        </is>
      </c>
      <c r="E21" s="66" t="inlineStr">
        <is>
          <t>Governance &amp; Oversight</t>
        </is>
      </c>
      <c r="F21" s="66" t="inlineStr">
        <is>
          <t>A.9 Use of AI systems</t>
        </is>
      </c>
      <c r="G21" s="66" t="inlineStr">
        <is>
          <t>MANAGE 2.3, 2.4</t>
        </is>
      </c>
      <c r="H21" s="66" t="inlineStr">
        <is>
          <t>InfoSec / Technology</t>
        </is>
      </c>
      <c r="I21" s="66" t="inlineStr">
        <is>
          <t>Not started</t>
        </is>
      </c>
      <c r="J21" s="74" t="n"/>
      <c r="K21" s="66" t="n"/>
      <c r="L21" s="74" t="n"/>
      <c r="M21" s="74" t="n"/>
      <c r="N21" s="66" t="n"/>
      <c r="O21" s="74" t="n">
        <v>4</v>
      </c>
      <c r="P21" s="74">
        <f>IF(J21="","",O21*J21)</f>
        <v/>
      </c>
      <c r="Q21" s="66" t="inlineStr">
        <is>
          <t>Play 11</t>
        </is>
      </c>
      <c r="R21" s="66" t="inlineStr">
        <is>
          <t>ST-14</t>
        </is>
      </c>
      <c r="S21" s="66" t="inlineStr">
        <is>
          <t>MAS M3.7 | MGF D3.1</t>
        </is>
      </c>
      <c r="T21" s="66" t="n"/>
      <c r="U21" s="66" t="n"/>
      <c r="V21" s="66" t="inlineStr">
        <is>
          <t>PA 8</t>
        </is>
      </c>
    </row>
    <row r="22" ht="32.25" customHeight="1" s="1">
      <c r="A22" s="64" t="inlineStr">
        <is>
          <t>S4 Interoperability</t>
        </is>
      </c>
      <c r="B22" s="73" t="inlineStr">
        <is>
          <t>S4.3</t>
        </is>
      </c>
      <c r="C22" s="66" t="inlineStr">
        <is>
          <t>Standard governance-record schema</t>
        </is>
      </c>
      <c r="D22" s="66" t="inlineStr">
        <is>
          <t>Adopt a portable, consistent record schema across agents and systems</t>
        </is>
      </c>
      <c r="E22" s="66" t="inlineStr">
        <is>
          <t>Transparency (FEAT F4)</t>
        </is>
      </c>
      <c r="F22" s="66" t="inlineStr">
        <is>
          <t>A.8 Information for interested parties</t>
        </is>
      </c>
      <c r="G22" s="66" t="inlineStr">
        <is>
          <t>MAP 1.1; MEASURE 3.1</t>
        </is>
      </c>
      <c r="H22" s="66" t="inlineStr">
        <is>
          <t>InfoSec / AI Risk (2nd line)</t>
        </is>
      </c>
      <c r="I22" s="66" t="inlineStr">
        <is>
          <t>Not started</t>
        </is>
      </c>
      <c r="J22" s="74" t="n"/>
      <c r="K22" s="66" t="n"/>
      <c r="L22" s="74" t="n"/>
      <c r="M22" s="74" t="n"/>
      <c r="N22" s="66" t="n"/>
      <c r="O22" s="74" t="n">
        <v>3</v>
      </c>
      <c r="P22" s="74">
        <f>IF(J22="","",O22*J22)</f>
        <v/>
      </c>
      <c r="Q22" s="66" t="inlineStr">
        <is>
          <t>Play 11</t>
        </is>
      </c>
      <c r="R22" s="66" t="n"/>
      <c r="S22" s="66" t="inlineStr">
        <is>
          <t>MAS M3.8</t>
        </is>
      </c>
      <c r="T22" s="66" t="n"/>
      <c r="U22" s="66" t="n"/>
      <c r="V22" s="66" t="inlineStr">
        <is>
          <t>—</t>
        </is>
      </c>
    </row>
    <row r="23" ht="32.25" customHeight="1" s="1">
      <c r="A23" s="64" t="inlineStr">
        <is>
          <t>S4 Interoperability</t>
        </is>
      </c>
      <c r="B23" s="73" t="inlineStr">
        <is>
          <t>S4.4</t>
        </is>
      </c>
      <c r="C23" s="66" t="inlineStr">
        <is>
          <t>Cross-system enforcement consistency</t>
        </is>
      </c>
      <c r="D23" s="66" t="inlineStr">
        <is>
          <t>Enforce the same mandate and policy regardless of the downstream system acted upon</t>
        </is>
      </c>
      <c r="E23" s="66" t="inlineStr">
        <is>
          <t>Governance &amp; Oversight</t>
        </is>
      </c>
      <c r="F23" s="66" t="inlineStr">
        <is>
          <t>A.9; A.6</t>
        </is>
      </c>
      <c r="G23" s="66" t="inlineStr">
        <is>
          <t>GOVERN 1.3; MANAGE 2.3</t>
        </is>
      </c>
      <c r="H23" s="66" t="inlineStr">
        <is>
          <t>AI Risk (2nd line)</t>
        </is>
      </c>
      <c r="I23" s="66" t="inlineStr">
        <is>
          <t>Not started</t>
        </is>
      </c>
      <c r="J23" s="74" t="n"/>
      <c r="K23" s="66" t="n"/>
      <c r="L23" s="74" t="n"/>
      <c r="M23" s="74" t="n"/>
      <c r="N23" s="66" t="n"/>
      <c r="O23" s="74" t="n">
        <v>4</v>
      </c>
      <c r="P23" s="74">
        <f>IF(J23="","",O23*J23)</f>
        <v/>
      </c>
      <c r="Q23" s="66" t="inlineStr">
        <is>
          <t>Play 11</t>
        </is>
      </c>
      <c r="R23" s="66" t="inlineStr">
        <is>
          <t>ST-14</t>
        </is>
      </c>
      <c r="S23" s="66" t="inlineStr">
        <is>
          <t>MAS M3.14 | MGF D1.6, D3.9</t>
        </is>
      </c>
      <c r="T23" s="66" t="n"/>
      <c r="U23" s="66" t="n"/>
      <c r="V23" s="66" t="inlineStr">
        <is>
          <t>—</t>
        </is>
      </c>
    </row>
    <row r="24" ht="32.25" customHeight="1" s="1">
      <c r="A24" s="64" t="inlineStr">
        <is>
          <t>S4 Interoperability</t>
        </is>
      </c>
      <c r="B24" s="73" t="inlineStr">
        <is>
          <t>S4.5</t>
        </is>
      </c>
      <c r="C24" s="66" t="inlineStr">
        <is>
          <t>Third-party / vendor agent coverage</t>
        </is>
      </c>
      <c r="D24" s="66" t="inlineStr">
        <is>
          <t>Subject externally-sourced agents to the same runtime checks and logging</t>
        </is>
      </c>
      <c r="E24" s="66" t="inlineStr">
        <is>
          <t>Third-Party Risk</t>
        </is>
      </c>
      <c r="F24" s="66" t="inlineStr">
        <is>
          <t>A.10 Third-party; A.9</t>
        </is>
      </c>
      <c r="G24" s="66" t="inlineStr">
        <is>
          <t>GOVERN 3.2; MANAGE 3.1</t>
        </is>
      </c>
      <c r="H24" s="66" t="inlineStr">
        <is>
          <t>AI Risk (2nd line) / Compliance</t>
        </is>
      </c>
      <c r="I24" s="66" t="inlineStr">
        <is>
          <t>Not started</t>
        </is>
      </c>
      <c r="J24" s="74" t="n"/>
      <c r="K24" s="66" t="n"/>
      <c r="L24" s="74" t="n"/>
      <c r="M24" s="74" t="n"/>
      <c r="N24" s="66" t="n"/>
      <c r="O24" s="74" t="n">
        <v>4</v>
      </c>
      <c r="P24" s="74">
        <f>IF(J24="","",O24*J24)</f>
        <v/>
      </c>
      <c r="Q24" s="66" t="inlineStr">
        <is>
          <t>Play 7, 11</t>
        </is>
      </c>
      <c r="R24" s="66" t="inlineStr">
        <is>
          <t>ST-14</t>
        </is>
      </c>
      <c r="S24" s="66" t="inlineStr">
        <is>
          <t>MAS M3.14 | MGF D1.6</t>
        </is>
      </c>
      <c r="T24" s="66" t="n"/>
      <c r="U24" s="66" t="n"/>
      <c r="V24" s="66" t="inlineStr">
        <is>
          <t>PA 3</t>
        </is>
      </c>
    </row>
    <row r="26" ht="15" customHeight="1" s="1">
      <c r="A26" s="71" t="inlineStr">
        <is>
          <t>★ = load-bearing SAFR safeguard.  Weight = criticality (seeded default — tune to risk appetite).  Weighted maturity = Weight × Maturity.</t>
        </is>
      </c>
    </row>
    <row r="27" ht="180" customHeight="1" s="1">
      <c r="A27" s="75" t="inlineStr">
        <is>
          <t>Basis: SAFR white paper (MAS / BuildFin.ai, 3 Jul 2026) — four safeguard principles (policy-bound execution, real-time validation, auditability, interoperability) and four components (agent identity, controls repository, disposition engine, audit log). Control IDs S1–S4 are this playbook's working derivations, not MAS-issued numbered controls. ISO / NIST / MAS mappings are section / function-level and should be reconciled against the primary PDF and your Control Library IDs before external use.</t>
        </is>
      </c>
    </row>
  </sheetData>
  <autoFilter ref="A3:U24"/>
  <printOptions horizontalCentered="0" verticalCentered="0" headings="0" gridLines="0"/>
  <pageMargins left="0.75" right="0.75" top="1" bottom="1" header="0.5118110236220469" footer="0.5118110236220469"/>
  <pageSetup orientation="portrait" paperSize="9" scale="100" fitToHeight="1" fitToWidth="1" useFirstPageNumber="0" pageOrder="downThenOver" usePrinterDefaults="1" blackAndWhite="0" draft="0" errors="displayed" horizontalDpi="300" verticalDpi="300" copies="1"/>
</worksheet>
</file>

<file path=xl/worksheets/sheet11.xml><?xml version="1.0" encoding="utf-8"?>
<worksheet xmlns="http://schemas.openxmlformats.org/spreadsheetml/2006/main">
  <sheetPr>
    <outlinePr summaryBelow="1" summaryRight="1"/>
    <pageSetUpPr/>
  </sheetPr>
  <dimension ref="A1:H19"/>
  <sheetViews>
    <sheetView showGridLines="1" zoomScale="100" workbookViewId="0">
      <pane xSplit="1" ySplit="3" topLeftCell="B4" activePane="bottomRight" state="frozen"/>
      <selection activeCell="A4" activeCellId="0" sqref="A4"/>
    </sheetView>
  </sheetViews>
  <sheetFormatPr baseColWidth="8" defaultRowHeight="15"/>
  <cols>
    <col width="24" customWidth="1" style="1" min="1" max="1"/>
    <col width="46" customWidth="1" style="1" min="2" max="2"/>
    <col width="26" customWidth="1" style="1" min="3" max="3"/>
    <col width="15" customWidth="1" style="1" min="4" max="4"/>
    <col width="30" customWidth="1" style="1" min="5" max="5"/>
    <col width="16" customWidth="1" style="1" min="6" max="6"/>
    <col width="10" customWidth="1" style="1" min="7" max="7"/>
    <col width="48" customWidth="1" style="1" min="8" max="8"/>
  </cols>
  <sheetData>
    <row r="1" ht="22" customHeight="1" s="1">
      <c r="A1" s="76" t="inlineStr">
        <is>
          <t>CSA Priority-Action Crosswalk — mapped to Playbook control IDs</t>
        </is>
      </c>
    </row>
    <row r="3" ht="34.5" customHeight="1" s="1">
      <c r="A3" s="77" t="inlineStr">
        <is>
          <t>CSA Priority Action</t>
        </is>
      </c>
      <c r="B3" s="77" t="inlineStr">
        <is>
          <t>What it requires</t>
        </is>
      </c>
      <c r="C3" s="77" t="inlineStr">
        <is>
          <t>CSA source refs (OWASP / ATLAS / NIST CSF 2.0)</t>
        </is>
      </c>
      <c r="D3" s="77" t="inlineStr">
        <is>
          <t>MAS (M / F)</t>
        </is>
      </c>
      <c r="E3" s="77" t="inlineStr">
        <is>
          <t>MGF Agentic (D)</t>
        </is>
      </c>
      <c r="F3" s="77" t="inlineStr">
        <is>
          <t>SAFR (S)</t>
        </is>
      </c>
      <c r="G3" s="77" t="inlineStr">
        <is>
          <t>Fit</t>
        </is>
      </c>
      <c r="H3" s="77" t="inlineStr">
        <is>
          <t>Scope / 2LoD challenge note</t>
        </is>
      </c>
    </row>
    <row r="4">
      <c r="A4" s="78" t="inlineStr">
        <is>
          <t>PA 1 · Point Agents at Your Code &amp; Pipelines</t>
        </is>
      </c>
      <c r="B4" s="79" t="inlineStr">
        <is>
          <t>Turn agents inward — run LLM security review across own code and CI/CD before merge; shift left into developers' coding agents.</t>
        </is>
      </c>
      <c r="C4" s="79" t="inlineStr">
        <is>
          <t>LLM01, LLM05, LLM08, ASI01, AML.T0018, AML.T0051.001, PR.PS, ID.IM</t>
        </is>
      </c>
      <c r="D4" s="80" t="inlineStr">
        <is>
          <t>M3.6, M3.7</t>
        </is>
      </c>
      <c r="E4" s="80" t="inlineStr">
        <is>
          <t>D3.8, D3.9</t>
        </is>
      </c>
      <c r="F4" s="80" t="inlineStr">
        <is>
          <t>—</t>
        </is>
      </c>
      <c r="G4" s="81" t="inlineStr">
        <is>
          <t>Partial</t>
        </is>
      </c>
      <c r="H4" s="79" t="inlineStr">
        <is>
          <t>A practice, not a control. The Playbook governs the review agent itself (D1.4 least-privilege, D3.2 sandbox), not the act of scanning.</t>
        </is>
      </c>
    </row>
    <row r="5">
      <c r="A5" s="78" t="inlineStr">
        <is>
          <t>PA 2 · Require AI Agent Adoption</t>
        </is>
      </c>
      <c r="B5" s="79" t="inlineStr">
        <is>
          <t>Formalise and mandate agent use across security functions with mandatory controls and oversight; optional programs don't overcome cultural barriers.</t>
        </is>
      </c>
      <c r="C5" s="79" t="inlineStr">
        <is>
          <t>GV.OC, GV.RM, DE.CM, RS.MA</t>
        </is>
      </c>
      <c r="D5" s="80" t="inlineStr">
        <is>
          <t>M1.1, M1.2, M1.5, M2.1, M2.2</t>
        </is>
      </c>
      <c r="E5" s="80" t="inlineStr">
        <is>
          <t>D2.1</t>
        </is>
      </c>
      <c r="F5" s="80" t="inlineStr">
        <is>
          <t>—</t>
        </is>
      </c>
      <c r="G5" s="82" t="inlineStr">
        <is>
          <t>Core</t>
        </is>
      </c>
      <c r="H5" s="79" t="inlineStr">
        <is>
          <t>Adoption sits behind the governance + inventory gate — mandate is not ungoverned rollout.</t>
        </is>
      </c>
    </row>
    <row r="6">
      <c r="A6" s="78" t="inlineStr">
        <is>
          <t>PA 3 · Defend Your Agents</t>
        </is>
      </c>
      <c r="B6" s="79" t="inlineStr">
        <is>
          <t>Treat agents as privileged, insecure-by-default; audit the harness (prompts, tools, retrieval, escalation); bound scope, blast radius and human override; secure the agentic supply chain (MCP, extensions, skills).</t>
        </is>
      </c>
      <c r="C6" s="79" t="inlineStr">
        <is>
          <t>LLM06, ASI02, ASI03, AML.T0047, PR.AA, GV.SC</t>
        </is>
      </c>
      <c r="D6" s="80" t="inlineStr">
        <is>
          <t>M3.15, M3.14, M3.7</t>
        </is>
      </c>
      <c r="E6" s="80" t="inlineStr">
        <is>
          <t>D1.3, D1.4, D1.5, D1.6, D3.1, D3.2, D3.3, D3.7, D3.11</t>
        </is>
      </c>
      <c r="F6" s="80" t="inlineStr">
        <is>
          <t>S1.1, S1.2, S1.4, S2.3, S4.5</t>
        </is>
      </c>
      <c r="G6" s="82" t="inlineStr">
        <is>
          <t>Core</t>
        </is>
      </c>
      <c r="H6" s="79" t="inlineStr">
        <is>
          <t>The register's centre of gravity — spans most of D1/D3 and S1/S4. Agentic supply chain = D1.6 / M3.14 / S4.5.</t>
        </is>
      </c>
    </row>
    <row r="7">
      <c r="A7" s="78" t="inlineStr">
        <is>
          <t>PA 4 · Establish Innovation, Acceleration Governance</t>
        </is>
      </c>
      <c r="B7" s="79" t="inlineStr">
        <is>
          <t>Cross-functional Security / Legal / Engineering forum to evaluate threats and fast-track defensive-tech onboarding.</t>
        </is>
      </c>
      <c r="C7" s="79" t="inlineStr">
        <is>
          <t>GV.OC, GV.RM, GV.RR, GV.OV</t>
        </is>
      </c>
      <c r="D7" s="80" t="inlineStr">
        <is>
          <t>M1.3, M1.4</t>
        </is>
      </c>
      <c r="E7" s="80" t="inlineStr">
        <is>
          <t>D2.2</t>
        </is>
      </c>
      <c r="F7" s="80" t="inlineStr">
        <is>
          <t>—</t>
        </is>
      </c>
      <c r="G7" s="82" t="inlineStr">
        <is>
          <t>Core</t>
        </is>
      </c>
      <c r="H7" s="79" t="inlineStr">
        <is>
          <t>2LoD tension — acceleration (D2.2 adaptive governance) must stay bounded by M1.4 risk appetite; speed does not dissolve the approval gate.</t>
        </is>
      </c>
    </row>
    <row r="8">
      <c r="A8" s="78" t="inlineStr">
        <is>
          <t>PA 5 · Prepare for Continuous Patching</t>
        </is>
      </c>
      <c r="B8" s="79" t="inlineStr">
        <is>
          <t>Build triage and deployment capacity for a potential flood of patches as Glasswing-driven disclosures land.</t>
        </is>
      </c>
      <c r="C8" s="79" t="inlineStr">
        <is>
          <t>AML.T0040, AML.T0043, PR.PS, PR.IR</t>
        </is>
      </c>
      <c r="D8" s="80" t="inlineStr">
        <is>
          <t>M3.12, M4.2</t>
        </is>
      </c>
      <c r="E8" s="80" t="inlineStr">
        <is>
          <t>D3.10</t>
        </is>
      </c>
      <c r="F8" s="80" t="inlineStr">
        <is>
          <t>—</t>
        </is>
      </c>
      <c r="G8" s="81" t="inlineStr">
        <is>
          <t>Partial</t>
        </is>
      </c>
      <c r="H8" s="79" t="inlineStr">
        <is>
          <t>AI-slice only (model / agent updates). Estate-wide patch and vulnerability management lives in MAS TRM, not this Playbook.</t>
        </is>
      </c>
    </row>
    <row r="9">
      <c r="A9" s="78" t="inlineStr">
        <is>
          <t>PA 6 · Update Risk Models &amp; Reporting</t>
        </is>
      </c>
      <c r="B9" s="79" t="inlineStr">
        <is>
          <t>Update metrics, reporting and business-risk calculations to reflect AI-accelerated exploit timelines; communicate the shift to stakeholders.</t>
        </is>
      </c>
      <c r="C9" s="79" t="inlineStr">
        <is>
          <t>GV.OC, GV.RM, RS.CO</t>
        </is>
      </c>
      <c r="D9" s="80" t="inlineStr">
        <is>
          <t>M2.3, M2.4, M3.10, M1.1</t>
        </is>
      </c>
      <c r="E9" s="80" t="inlineStr">
        <is>
          <t>D2.5</t>
        </is>
      </c>
      <c r="F9" s="80" t="inlineStr">
        <is>
          <t>S3.4</t>
        </is>
      </c>
      <c r="G9" s="82" t="inlineStr">
        <is>
          <t>Core</t>
        </is>
      </c>
      <c r="H9" s="79" t="inlineStr">
        <is>
          <t>Your 2LoD seat; the Maturity Dashboard is the instrument. Ratings should track live residual exposure, not remediation paperwork.</t>
        </is>
      </c>
    </row>
    <row r="10">
      <c r="A10" s="78" t="inlineStr">
        <is>
          <t>PA 7 · Inventory &amp; Reduce Attack Surface</t>
        </is>
      </c>
      <c r="B10" s="79" t="inlineStr">
        <is>
          <t>Build / maintain a continuous inventory, generate real SBOMs, decommission unneeded functionality, isolate or air-gap at-risk systems.</t>
        </is>
      </c>
      <c r="C10" s="79" t="inlineStr">
        <is>
          <t>ASI04, AML.T0000, ID.AM, GV.SC</t>
        </is>
      </c>
      <c r="D10" s="80" t="inlineStr">
        <is>
          <t>M2.1, M2.2, M3.13</t>
        </is>
      </c>
      <c r="E10" s="80" t="inlineStr">
        <is>
          <t>D1.1, D1.6</t>
        </is>
      </c>
      <c r="F10" s="80" t="inlineStr">
        <is>
          <t>—</t>
        </is>
      </c>
      <c r="G10" s="82" t="inlineStr">
        <is>
          <t>Core</t>
        </is>
      </c>
      <c r="H10" s="79" t="inlineStr">
        <is>
          <t>Inventory (M2.2) + safe decommission (M3.13); software / dependency SBOM via M3.14 / D1.6.</t>
        </is>
      </c>
    </row>
    <row r="11">
      <c r="A11" s="78" t="inlineStr">
        <is>
          <t>PA 8 · Harden Your Environment</t>
        </is>
      </c>
      <c r="B11" s="79" t="inlineStr">
        <is>
          <t>Egress filtering, deep segmentation, zero trust, dependency lockdown, phishing-resistant MFA, software minimisation.</t>
        </is>
      </c>
      <c r="C11" s="79" t="inlineStr">
        <is>
          <t>PR.IR, PR.PS</t>
        </is>
      </c>
      <c r="D11" s="80" t="inlineStr">
        <is>
          <t>M3.7</t>
        </is>
      </c>
      <c r="E11" s="80" t="inlineStr">
        <is>
          <t>D3.1, D3.2, D3.3, D3.7</t>
        </is>
      </c>
      <c r="F11" s="80" t="inlineStr">
        <is>
          <t>S4.2</t>
        </is>
      </c>
      <c r="G11" s="81" t="inlineStr">
        <is>
          <t>Partial</t>
        </is>
      </c>
      <c r="H11" s="79" t="inlineStr">
        <is>
          <t>AI-slice only. Classic network / MFA / segmentation hardening sits in MAS TRM. S4.2 gateway interception = the agent-action enforcement point.</t>
        </is>
      </c>
    </row>
    <row r="12">
      <c r="A12" s="78" t="inlineStr">
        <is>
          <t>PA 9 · Build a Deception Capability</t>
        </is>
      </c>
      <c r="B12" s="79" t="inlineStr">
        <is>
          <t>Deploy canaries and honey tokens, layer behavioural monitoring, pre-authorise containment, build machine-speed response playbooks.</t>
        </is>
      </c>
      <c r="C12" s="79" t="inlineStr">
        <is>
          <t>ASI08, DE.CM, DE.AE, RS.MA</t>
        </is>
      </c>
      <c r="D12" s="80" t="inlineStr">
        <is>
          <t>—</t>
        </is>
      </c>
      <c r="E12" s="80" t="inlineStr">
        <is>
          <t>D3.11, D3.12</t>
        </is>
      </c>
      <c r="F12" s="80" t="inlineStr">
        <is>
          <t>S2.5</t>
        </is>
      </c>
      <c r="G12" s="81" t="inlineStr">
        <is>
          <t>Partial</t>
        </is>
      </c>
      <c r="H12" s="79" t="inlineStr">
        <is>
          <t>Only the anomaly-detection / monitoring slice maps (D3.12). Deception tooling itself is out of Playbook scope.</t>
        </is>
      </c>
    </row>
    <row r="13">
      <c r="A13" s="78" t="inlineStr">
        <is>
          <t>PA 10 · Build an Automated Response Capability</t>
        </is>
      </c>
      <c r="B13" s="79" t="inlineStr">
        <is>
          <t>Make detection engineering and IR systemic and, where possible, autonomous — pre-authorised containment and machine-speed playbooks.</t>
        </is>
      </c>
      <c r="C13" s="79" t="inlineStr">
        <is>
          <t>ASI08, AML.T0047, DE.CM, DE.AE, RS.MA</t>
        </is>
      </c>
      <c r="D13" s="80" t="inlineStr">
        <is>
          <t>M3.11</t>
        </is>
      </c>
      <c r="E13" s="80" t="inlineStr">
        <is>
          <t>D3.16, D3.11, D2.6</t>
        </is>
      </c>
      <c r="F13" s="80" t="inlineStr">
        <is>
          <t>S2.1, S2.3, S2.4</t>
        </is>
      </c>
      <c r="G13" s="82" t="inlineStr">
        <is>
          <t>Core</t>
        </is>
      </c>
      <c r="H13" s="79" t="inlineStr">
        <is>
          <t>Automated containment (S2.1 / S2.4) is only defensible with human-in-the-loop escalation (S2.3) and automation-bias countermeasures (D2.6) live — otherwise it is an uncontrolled action.</t>
        </is>
      </c>
    </row>
    <row r="14">
      <c r="A14" s="78" t="inlineStr">
        <is>
          <t>PA 11 · Stand Up VulnOps</t>
        </is>
      </c>
      <c r="B14" s="79" t="inlineStr">
        <is>
          <t>Build a permanent Vulnerability Operations function — staffed and automated like DevOps — owning continuous zero-day discovery and automated remediation across the estate.</t>
        </is>
      </c>
      <c r="C14" s="79" t="inlineStr">
        <is>
          <t>ASI10, ASI06, AML.T0018, ID.RA, ID.AM, DE.CM</t>
        </is>
      </c>
      <c r="D14" s="80" t="inlineStr">
        <is>
          <t>M3.6, M3.7, M4.1, M4.2</t>
        </is>
      </c>
      <c r="E14" s="80" t="inlineStr">
        <is>
          <t>D3.8, D3.15</t>
        </is>
      </c>
      <c r="F14" s="80" t="inlineStr">
        <is>
          <t>—</t>
        </is>
      </c>
      <c r="G14" s="81" t="inlineStr">
        <is>
          <t>Partial</t>
        </is>
      </c>
      <c r="H14" s="79" t="inlineStr">
        <is>
          <t>AI-slice only (agent testing D3.8, periodic audit D3.15, capacity M4.1 / M4.2). VulnOps as an enterprise function lives in the cyber control set.</t>
        </is>
      </c>
    </row>
    <row r="16">
      <c r="A16" s="83" t="inlineStr">
        <is>
          <t>Fit — Core = the Playbook is the natural home for this action; Partial = only the AI / agentic slice maps here, the estate-wide capability lives in MAS TRM or the cyber control set.</t>
        </is>
      </c>
    </row>
    <row r="17">
      <c r="A17" s="83" t="inlineStr">
        <is>
          <t>CSA source refs — framework anchors from the CSA risk-register row(s) mapping to each action: OWASP LLM Top 10 2025 (LLM..), OWASP Agentic Top 10 2026 (ASI..), MITRE ATLAS (AML.T..), NIST CSF 2.0 (GV / ID / PR / DE / RS).</t>
        </is>
      </c>
    </row>
    <row r="18">
      <c r="A18" s="83" t="inlineStr">
        <is>
          <t>Playbook control IDs — verified against this workbook (MAS M/F, MGF Agentic D, SAFR S). M-series traces to AIRG Consultation Paper P017-2025 (consultation, not issued Guidelines); D = IMDA MGF for Agentic AI (issued); S = SAFR white paper (MAS / BuildFin.ai, 3 Jul 2026). ISO 42001 / NIST AI RMF anchors ride along inside each D-row and S-row.</t>
        </is>
      </c>
    </row>
    <row r="19">
      <c r="A19" s="83" t="inlineStr">
        <is>
          <t>Source — CSA / SANS / [un]prompted / OWASP GenAI, "The AI Vulnerability Storm: Building a Mythos-ready Security Program", v0.95 DRAFT, 18 Apr 2026 (CC BY-NC 4.0). Priority-action table is draft-stage and assumes an aggressive timetable — treat as candidate actions.</t>
        </is>
      </c>
    </row>
  </sheetData>
  <mergeCells count="5">
    <mergeCell ref="A18:H18"/>
    <mergeCell ref="A16:H16"/>
    <mergeCell ref="A19:H19"/>
    <mergeCell ref="A1:H1"/>
    <mergeCell ref="A17:H17"/>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2026-06-17T07:05:16Z</dcterms:created>
  <dcterms:modified xmlns:dcterms="http://purl.org/dc/terms/" xmlns:xsi="http://www.w3.org/2001/XMLSchema-instance" xsi:type="dcterms:W3CDTF">2026-09-05T17:49:28Z</dcterms:modified>
  <cp:revision>9</cp:revision>
</cp:coreProperties>
</file>