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worksheets/sheet9.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xl/worksheets/sheet10.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How to Use" sheetId="1" state="visible" r:id="rId1"/>
    <sheet name="Roles &amp; RACI" sheetId="2" state="visible" r:id="rId2"/>
    <sheet name="Playbooks &amp; Runbooks" sheetId="3" state="visible" r:id="rId3"/>
    <sheet name="Control Library - ISO 42001" sheetId="4" state="visible" r:id="rId4"/>
    <sheet name="Control Library - NIST AI RMF" sheetId="5" state="visible" r:id="rId5"/>
    <sheet name="Control Library - MAS" sheetId="6" state="visible" r:id="rId6"/>
    <sheet name="Stress-Test Tracker" sheetId="7" state="visible" r:id="rId7"/>
    <sheet name="Maturity Dashboard" sheetId="8" state="visible" r:id="rId8"/>
    <sheet name="Control Library - MGF Agentic" sheetId="9" state="visible" r:id="rId9"/>
    <sheet name="Control Library - SAFR" sheetId="10" state="visible" r:id="rId10"/>
    <sheet name="CSA Priority-Action Crosswalk" sheetId="11" state="visible" r:id="rId14"/>
  </sheets>
  <definedNames>
    <definedName name="_xlnm._FilterDatabase" localSheetId="3" hidden="1">'Control Library - ISO 42001'!$A$3:$K$41</definedName>
    <definedName name="_xlnm._FilterDatabase" localSheetId="4" hidden="1">'Control Library - NIST AI RMF'!$A$3:$L$75</definedName>
    <definedName name="_xlnm._FilterDatabase" localSheetId="5" hidden="1">'Control Library - MAS'!$A$3:$M$33</definedName>
    <definedName name="_xlnm._FilterDatabase" localSheetId="6" hidden="1">'Stress-Test Tracker'!$A$3:$L$13</definedName>
    <definedName name="_xlnm._FilterDatabase" localSheetId="8" hidden="1">'Control Library - MGF Agentic'!$A$3:$P$37</definedName>
    <definedName name="_xlnm._FilterDatabase" localSheetId="3" hidden="1">'Control Library - ISO 42001'!$A$3:$K$41</definedName>
    <definedName name="_xlnm._FilterDatabase" localSheetId="4" hidden="1">'Control Library - NIST AI RMF'!$A$3:$L$75</definedName>
    <definedName name="_xlnm._FilterDatabase" localSheetId="5" hidden="1">'Control Library - MAS'!$A$3:$M$33</definedName>
    <definedName name="_xlnm._FilterDatabase" localSheetId="6" hidden="1">'Stress-Test Tracker'!$A$3:$L$13</definedName>
    <definedName name="_xlnm._FilterDatabase" localSheetId="8" hidden="1">'Control Library - MGF Agentic'!$A$3:$P$37</definedName>
    <definedName name="_xlnm._FilterDatabase" localSheetId="9" hidden="1">'Control Library - SAFR'!$A$3:$S$24</definedName>
  </definedNames>
  <calcPr refMode="A1" iterate="0" iterateCount="100" iterateDelta="0.0001" fullCalcOnLoad="1"/>
  <extLst>
    <ext xmlns:x15="http://schemas.microsoft.com/office/spreadsheetml/2010/11/main" uri="{D0CA8CA8-9F24-4464-BF8E-62219DCF47F9}"/>
  </extLst>
</workbook>
</file>

<file path=xl/sharedStrings.xml><?xml version="1.0" encoding="utf-8"?>
<sst xmlns="http://schemas.openxmlformats.org/spreadsheetml/2006/main" count="1257" uniqueCount="1257">
  <si>
    <t xml:space="preserve">AI Governance Playbook &amp; Runbook</t>
  </si>
  <si>
    <t xml:space="preserve">An operating manual for managing AI risk across the lifecycle — built for a MAS-regulated financial institution.</t>
  </si>
  <si>
    <t xml:space="preserve">What this is</t>
  </si>
  <si>
    <t>Purpose</t>
  </si>
  <si>
    <t xml:space="preserve">Turns the ISO 42001 / NIST AI RMF / MAS control sets into something a team runs day-to-day: defined roles, lifecycle plays with step-by-step runbooks, living control trackers, a stress-test tracker, and a maturity dashboard.</t>
  </si>
  <si>
    <t xml:space="preserve">The tabs, and how they connect</t>
  </si>
  <si>
    <t xml:space="preserve">Roles &amp; RACI</t>
  </si>
  <si>
    <t xml:space="preserve">Defines who does what, on a three-lines-of-defence model. Every play and control references these roles. Start here — ownership is the spine of the playbook.</t>
  </si>
  <si>
    <t xml:space="preserve">Playbooks &amp; Runbooks</t>
  </si>
  <si>
    <t xml:space="preserve">10 lifecycle plays (intake -&gt; impact assessment -&gt; validation -&gt; deployment -&gt; monitoring -&gt; incident -&gt; third-party -&gt; review -&gt; decommission -&gt; stress-test). Each play has a trigger, owner, ordered steps, evidence, and the controls it satisfies.</t>
  </si>
  <si>
    <t xml:space="preserve">Control Library (ISO / NIST / MAS)</t>
  </si>
  <si>
    <t xml:space="preserve">The full control catalogues, now as trackers: assign an owner, set status &amp; maturity, record evidence and review dates. These are the 'what'; the plays are the 'how'.</t>
  </si>
  <si>
    <t xml:space="preserve">Stress-Test Tracker</t>
  </si>
  <si>
    <t xml:space="preserve">The hotspot register (10 core + SAFR runtime) as a live test register: owner, cadence, last run, result, residual risk, next run.</t>
  </si>
  <si>
    <t xml:space="preserve">Maturity Dashboard</t>
  </si>
  <si>
    <t xml:space="preserve">Rolls up status and maturity across the control library so you can see readiness at a glance and report it upward.</t>
  </si>
  <si>
    <t xml:space="preserve">Suggested operating cadence</t>
  </si>
  <si>
    <t xml:space="preserve">On every new AI use-case</t>
  </si>
  <si>
    <t xml:space="preserve">Run Play 1 (Intake &amp; Triage). Materiality decides how much of Plays 2-4 apply.</t>
  </si>
  <si>
    <t xml:space="preserve">Continuously / monthly</t>
  </si>
  <si>
    <t xml:space="preserve">Play 5 (Monitoring); review Stress-Test Tracker items due.</t>
  </si>
  <si>
    <t xml:space="preserve">On event</t>
  </si>
  <si>
    <t xml:space="preserve">Play 6 (Incident), Play 7 (Third-party onboarding / vendor change), Play 9 (Decommission).</t>
  </si>
  <si>
    <t>Quarterly</t>
  </si>
  <si>
    <t xml:space="preserve">Play 10 (Stress-test cycle); refresh Maturity Dashboard; AI Risk Committee review.</t>
  </si>
  <si>
    <t xml:space="preserve">Annually / on material change</t>
  </si>
  <si>
    <t xml:space="preserve">Play 8 (Periodic review &amp; re-validation); refresh AI policy (ISO A.2.4).</t>
  </si>
  <si>
    <t xml:space="preserve">How to use the trackers</t>
  </si>
  <si>
    <t>Dropdowns</t>
  </si>
  <si>
    <t xml:space="preserve">Status, Maturity (1-5), test Result and Residual risk are dropdown cells — pick from the list. The dashboard reads these automatically.</t>
  </si>
  <si>
    <t>Owners</t>
  </si>
  <si>
    <t xml:space="preserve">Default owner roles are pre-filled as a starting point; reassign to named individuals/teams for your org.</t>
  </si>
  <si>
    <t>Caveat</t>
  </si>
  <si>
    <t xml:space="preserve">Control text is a working summary, not verbatim standard wording. MAS AIRG is a proposed guideline (Consultation Paper P017-2025, Nov 2025); public consultation closed 31 Jan 2026, with a 12-month transition period running from the eventual issuance date — it is not yet in force. Calibrate cadence and gates to your own risk appetite and MAS supervisory expectations.</t>
  </si>
  <si>
    <t xml:space="preserve">Update — IMDA MGF for Agentic AI</t>
  </si>
  <si>
    <t xml:space="preserve">Control Library - MGF Agentic</t>
  </si>
  <si>
    <t xml:space="preserve">34 agentic-AI controls (4 MGF dimensions) as a tracker, with Weight &amp; Weighted-maturity columns and links to the plays. Feeds the dashboard alongside ISO/NIST/MAS.</t>
  </si>
  <si>
    <t xml:space="preserve">Play 11 — Agentic Operation &amp; Human Oversight</t>
  </si>
  <si>
    <t xml:space="preserve">New play housing the agent-specific runtime practices (end-user disclosure &amp; training, automation-bias monitoring, red-team review) that don't fit the model-lifecycle plays.</t>
  </si>
  <si>
    <t xml:space="preserve">Update — FEAT operationalised</t>
  </si>
  <si>
    <t xml:space="preserve">FEAT (F1-F4) is now wired into the operating cadence: assessed in Play 2, gated in Plays 3/4, re-assessed in Plays 5/8, per the FEAT Assessment Methodology (Veritas-aligned) which defines the fairness/ethics/transparency assessments and high-materiality model validation.</t>
  </si>
  <si>
    <t xml:space="preserve">Update — MAS SAFR (Runtime safeguards)</t>
  </si>
  <si>
    <t xml:space="preserve">Control Library - SAFR</t>
  </si>
  <si>
    <t xml:space="preserve">21 runtime safeguards across the 4 SAFR principles as a tracker — feeds the dashboard alongside ISO/NIST/MAS/MGF. The runtime companion to the MGF agentic controls (mapped to MAS AIRG, ISO 42001 and NIST AI RMF).</t>
  </si>
  <si>
    <t xml:space="preserve">Operationalised at the point of action</t>
  </si>
  <si>
    <t xml:space="preserve">Most SAFR controls link to Play 11 (Agentic Operation &amp; Human Oversight), with mandate/design in Play 3, monitoring in Play 5 and third-party agents in Play 7.</t>
  </si>
  <si>
    <t xml:space="preserve">Prepared by</t>
  </si>
  <si>
    <t xml:space="preserve">Wu Yen Ching / wuyenching087@gmail.com</t>
  </si>
  <si>
    <t>Date</t>
  </si>
  <si>
    <t xml:space="preserve">June 2026</t>
  </si>
  <si>
    <t>Classification</t>
  </si>
  <si>
    <t xml:space="preserve">Proprietary &amp; Confidential</t>
  </si>
  <si>
    <t xml:space="preserve">Roles &amp; Responsibilities (Three Lines of Defence)</t>
  </si>
  <si>
    <t>Line</t>
  </si>
  <si>
    <t>Role</t>
  </si>
  <si>
    <t xml:space="preserve">Core responsibilities in AI governance</t>
  </si>
  <si>
    <t xml:space="preserve">RACI emphasis</t>
  </si>
  <si>
    <t xml:space="preserve">Board / Board Risk Cttee</t>
  </si>
  <si>
    <t>Board</t>
  </si>
  <si>
    <t xml:space="preserve">Ultimate accountability for AI risk; approves AI risk appetite &amp; policy; oversees that management runs an effective AI risk framework.</t>
  </si>
  <si>
    <t xml:space="preserve">Accountable (appetite, policy)</t>
  </si>
  <si>
    <t xml:space="preserve">Senior Mgmt</t>
  </si>
  <si>
    <t xml:space="preserve">AI Risk / Model Governance Committee</t>
  </si>
  <si>
    <t xml:space="preserve">Owns the AI risk management framework; approves high-materiality use-cases and risk acceptances; reviews monitoring &amp; incident reporting.</t>
  </si>
  <si>
    <t xml:space="preserve">Accountable (high-materiality go/no-go)</t>
  </si>
  <si>
    <t xml:space="preserve">1st line</t>
  </si>
  <si>
    <t xml:space="preserve">Business / Model Owner</t>
  </si>
  <si>
    <t xml:space="preserve">Owns the use-case and its outcomes; accountable for intended use, risk acceptance at unit level, and day-to-day operation.</t>
  </si>
  <si>
    <t xml:space="preserve">Responsible / Accountable (use-case)</t>
  </si>
  <si>
    <t xml:space="preserve">Model Developer / Data Science</t>
  </si>
  <si>
    <t xml:space="preserve">Designs, builds, documents and tests the model; implements responsible-AI design requirements.</t>
  </si>
  <si>
    <t xml:space="preserve">Responsible (build, document)</t>
  </si>
  <si>
    <t xml:space="preserve">Data Owner / Steward</t>
  </si>
  <si>
    <t xml:space="preserve">Accountable for data quality, representativeness, lineage, provenance and data rights for AI.</t>
  </si>
  <si>
    <t xml:space="preserve">Responsible (data)</t>
  </si>
  <si>
    <t xml:space="preserve">2nd line</t>
  </si>
  <si>
    <t xml:space="preserve">AI Risk / Model Risk Mgmt</t>
  </si>
  <si>
    <t xml:space="preserve">Independent oversight; sets materiality methodology, maintains framework &amp; inventory standards, challenges 1st line.</t>
  </si>
  <si>
    <t xml:space="preserve">Responsible (oversight, triage)</t>
  </si>
  <si>
    <t xml:space="preserve">Independent Validation</t>
  </si>
  <si>
    <t xml:space="preserve">Validates models independently of developers; issues validation opinion before deployment and at re-validation.</t>
  </si>
  <si>
    <t xml:space="preserve">Responsible (validation)</t>
  </si>
  <si>
    <t xml:space="preserve">Compliance &amp; Legal</t>
  </si>
  <si>
    <t xml:space="preserve">Maps regulatory obligations (MAS, PDPA, EU AI Act); reviews disclosures and external reporting.</t>
  </si>
  <si>
    <t xml:space="preserve">Consulted (regulatory)</t>
  </si>
  <si>
    <t xml:space="preserve">Data Protection Officer</t>
  </si>
  <si>
    <t xml:space="preserve">Owns privacy impact (DPIA) and personal-data handling for AI systems.</t>
  </si>
  <si>
    <t xml:space="preserve">Consulted (privacy)</t>
  </si>
  <si>
    <t xml:space="preserve">InfoSec / Cybersecurity</t>
  </si>
  <si>
    <t xml:space="preserve">AI-specific security, red-teaming, adversarial testing and technology controls.</t>
  </si>
  <si>
    <t xml:space="preserve">Responsible (security testing)</t>
  </si>
  <si>
    <t xml:space="preserve">3rd line</t>
  </si>
  <si>
    <t xml:space="preserve">Internal Audit</t>
  </si>
  <si>
    <t xml:space="preserve">Independent assurance over the AI governance framework and its operation; not involved in design/run.</t>
  </si>
  <si>
    <t xml:space="preserve">Consulted / Informed (assurance)</t>
  </si>
  <si>
    <t xml:space="preserve">AI Governance Playbooks &amp; Runbooks — 10 Lifecycle Plays</t>
  </si>
  <si>
    <t xml:space="preserve">Each play opens with a header row (trigger, frequency, accountable owner, exit gate), followed by its ordered runbook steps. Filter on column A to jump to a play.</t>
  </si>
  <si>
    <t xml:space="preserve">Play / Step</t>
  </si>
  <si>
    <t xml:space="preserve">Step owner (role)</t>
  </si>
  <si>
    <t xml:space="preserve">Action / procedure</t>
  </si>
  <si>
    <t xml:space="preserve">Trigger / cadence</t>
  </si>
  <si>
    <t xml:space="preserve">Evidence / output</t>
  </si>
  <si>
    <t xml:space="preserve">Controls satisfied (ISO | NIST | MAS | MGF)</t>
  </si>
  <si>
    <t xml:space="preserve">PLAY 1 — AI Use-Case Intake &amp; Triage</t>
  </si>
  <si>
    <t xml:space="preserve">Trigger: New AI/ML/GenAI use-case proposed, or material change to an existing one    |    Frequency: On event    |    Owner — A: AI Risk Committee | R: Model Owner    |    Exit gate: Use-case registered &amp; risk-tiered; documented go/no-go to proceed</t>
  </si>
  <si>
    <t xml:space="preserve">ISO A.4.2, A.5.2 | NIST GOVERN 1.6, MAP 1.1 | MAS M2.1, M2.2, M2.3 | MGF D1.1, D1.2, D1.6</t>
  </si>
  <si>
    <t xml:space="preserve">  Step 1</t>
  </si>
  <si>
    <t xml:space="preserve">Submit AI use-case intake form: purpose, data used, users, decisions affected, expected benefits.</t>
  </si>
  <si>
    <t xml:space="preserve">Intake form</t>
  </si>
  <si>
    <t xml:space="preserve">  Step 2</t>
  </si>
  <si>
    <t xml:space="preserve">AI Risk (2nd line)</t>
  </si>
  <si>
    <t xml:space="preserve">Register the use-case in the central AI inventory with dependencies and ownership.</t>
  </si>
  <si>
    <t xml:space="preserve">AI inventory entry</t>
  </si>
  <si>
    <t xml:space="preserve">  Step 3</t>
  </si>
  <si>
    <t xml:space="preserve">Run initial risk-materiality triage scoring impact x complexity x reliance.</t>
  </si>
  <si>
    <t xml:space="preserve">Materiality score &amp; rationale</t>
  </si>
  <si>
    <t xml:space="preserve">  Step 4</t>
  </si>
  <si>
    <t xml:space="preserve">AI Risk Committee</t>
  </si>
  <si>
    <t xml:space="preserve">Route by materiality: low -&gt; streamlined path; high -&gt; full impact assessment + committee review.</t>
  </si>
  <si>
    <t xml:space="preserve">Routing decision</t>
  </si>
  <si>
    <t xml:space="preserve">PLAY 2 — AI Impact &amp; Risk Assessment</t>
  </si>
  <si>
    <t xml:space="preserve">Trigger: High-materiality use-case routed from intake    |    Frequency: On event    |    Owner — A: AI Risk Committee | R: AI Risk (2nd line)    |    Exit gate: Approved impact assessment with mitigations &amp; documented residual risk</t>
  </si>
  <si>
    <t xml:space="preserve">ISO A.5.2-A.5.5 | NIST MAP 5.1, 5.2, MEASURE 1.1 | MAS M2.3, M2.4, M3.2 | MGF D1.1, D1.5 | FEAT F1-F4 (assess)</t>
  </si>
  <si>
    <t xml:space="preserve">Model Owner + AI Risk</t>
  </si>
  <si>
    <t xml:space="preserve">Identify affected individuals/groups and analyse impact (fairness). Trigger the FEAT assessment per the FEAT Assessment Methodology (Veritas): Ethics &amp; Accountability (F2/F3) set at org level, Fairness (F1) and Transparency (F4) run concurrently for the use case. For high-materiality use cases, initiate independent validation.</t>
  </si>
  <si>
    <t xml:space="preserve">Impact analysis</t>
  </si>
  <si>
    <t>DPO</t>
  </si>
  <si>
    <t xml:space="preserve">Complete privacy impact assessment (DPIA) where personal data is involved.</t>
  </si>
  <si>
    <t>DPIA</t>
  </si>
  <si>
    <t xml:space="preserve">Model Owner</t>
  </si>
  <si>
    <t xml:space="preserve">Document foreseeable misuse, predictable failure modes and proposed mitigations.</t>
  </si>
  <si>
    <t xml:space="preserve">Failure-mode register</t>
  </si>
  <si>
    <t xml:space="preserve">AI Risk</t>
  </si>
  <si>
    <t xml:space="preserve">Assess societal/environmental impact for material or public-facing systems.</t>
  </si>
  <si>
    <t xml:space="preserve">Societal-impact note</t>
  </si>
  <si>
    <t xml:space="preserve">  Step 5</t>
  </si>
  <si>
    <t xml:space="preserve">Review and sign off the impact assessment; record residual risk.</t>
  </si>
  <si>
    <t xml:space="preserve">Signed impact assessment</t>
  </si>
  <si>
    <t xml:space="preserve">PLAY 3 — Development &amp; Validation Gate</t>
  </si>
  <si>
    <t xml:space="preserve">Trigger: Model development complete; pre-deployment    |    Frequency: On event    |    Owner — A: AI Risk Committee | R: Independent Validation    |    Exit gate: Independent validation sign-off; validation report filed</t>
  </si>
  <si>
    <t xml:space="preserve">ISO A.6.2.2-A.6.2.4, A.7.2-A.7.6 | NIST MEASURE 2.1-2.13 | MAS M3.1, M3.3, M3.5, M3.6, M3.7, M3.8 | MGF D1.3, D1.4, D3.1-D3.9 | FEAT F1, F4</t>
  </si>
  <si>
    <t xml:space="preserve">Data Owner</t>
  </si>
  <si>
    <t xml:space="preserve">Sign off data quality, representativeness, lineage and provenance for training/test data.</t>
  </si>
  <si>
    <t xml:space="preserve">Data sign-off</t>
  </si>
  <si>
    <t xml:space="preserve">Model Developer</t>
  </si>
  <si>
    <t xml:space="preserve">Document model &amp; feature selection, design decisions and requirements traceability.</t>
  </si>
  <si>
    <t xml:space="preserve">Model documentation</t>
  </si>
  <si>
    <t xml:space="preserve">Run testing &amp; evaluation: performance, robustness, fairness/bias, security, explainability.</t>
  </si>
  <si>
    <t xml:space="preserve">Test results</t>
  </si>
  <si>
    <t xml:space="preserve">Independently validate the model (independent of developers); issue validation opinion.</t>
  </si>
  <si>
    <t xml:space="preserve">Validation report</t>
  </si>
  <si>
    <t xml:space="preserve">PLAY 4 — Pre-Deployment Approval (Release Gate)</t>
  </si>
  <si>
    <t xml:space="preserve">Trigger: Validation passed; ready to deploy    |    Frequency: On event    |    Owner — A: AI Risk Committee (high-materiality) / Model Owner (low)    |    Exit gate: Documented deployment approval &amp; explicit risk acceptance</t>
  </si>
  <si>
    <t xml:space="preserve">ISO A.6.2.5, A.9.2-A.9.4 | NIST MANAGE 1.1, MEASURE 2.3 | MAS M3.4, M3.9 | MGF D2.3, D2.4, D3.10 | FEAT F1-F4 (sign-off)</t>
  </si>
  <si>
    <t xml:space="preserve">Confirm release criteria are met and deployment environment is ready, including FEAT sign-off (F1-F4) and — for high-materiality models — independent validation sign-off per the FEAT Assessment Methodology §D. No high-materiality model is released without it.</t>
  </si>
  <si>
    <t xml:space="preserve">Release checklist</t>
  </si>
  <si>
    <t xml:space="preserve">Model Owner + InfoSec</t>
  </si>
  <si>
    <t xml:space="preserve">Confirm human-oversight design and rollback / kill-switch plan are in place.</t>
  </si>
  <si>
    <t xml:space="preserve">Oversight &amp; rollback plan</t>
  </si>
  <si>
    <t xml:space="preserve">AI Risk Committee / Model Owner</t>
  </si>
  <si>
    <t xml:space="preserve">Accountable owner accepts residual risk; committee approves for high-materiality.</t>
  </si>
  <si>
    <t xml:space="preserve">Signed deployment approval</t>
  </si>
  <si>
    <t xml:space="preserve">PLAY 5 — Post-Deployment Monitoring</t>
  </si>
  <si>
    <t xml:space="preserve">Trigger: System is live    |    Frequency: Continuous; reviewed monthly/quarterly    |    Owner — A: Model Owner | R: AI Risk (2nd line)    |    Exit gate: Monitoring report each cycle; triggers for re-validation or retirement</t>
  </si>
  <si>
    <t xml:space="preserve">ISO A.6.2.6 | NIST MEASURE 2.4, 3.1, MANAGE 4.1 | MAS M3.8, M3.10 | MGF D2.5, D2.6, D3.11-D3.14, D3.16 | FEAT F1, F4 (drift)</t>
  </si>
  <si>
    <t xml:space="preserve">Monitor performance &amp; drift against thresholds; investigate threshold breaches.</t>
  </si>
  <si>
    <t xml:space="preserve">Continuous; reviewed monthly/quarterly</t>
  </si>
  <si>
    <t xml:space="preserve">Monitoring dashboard</t>
  </si>
  <si>
    <t xml:space="preserve">Re-check fairness/bias and confirm usage stays within intended use.</t>
  </si>
  <si>
    <t xml:space="preserve">Periodic re-check note</t>
  </si>
  <si>
    <t xml:space="preserve">Review monitoring dashboard; decide on re-validation, change or retirement.</t>
  </si>
  <si>
    <t xml:space="preserve">Committee minutes</t>
  </si>
  <si>
    <t xml:space="preserve">PLAY 6 — AI Incident Response (Runbook)</t>
  </si>
  <si>
    <t xml:space="preserve">Trigger: AI incident: harmful/erroneous output, drift breach, bias complaint, jailbreak/security event, agent acting out of scope    |    Frequency: On event    |    Owner — A: AI Risk Committee | R: Model Owner + InfoSec    |    Exit gate: Incident closed; root-cause documented; lessons fed back into controls</t>
  </si>
  <si>
    <t xml:space="preserve">ISO A.3.3, A.8.4, A.6.2.6 | NIST GOVERN 4.3, MANAGE 2.3, 2.4, 4.3, MEASURE 3.3 | MAS M3.11 | MGF D3.15, D3.16</t>
  </si>
  <si>
    <t xml:space="preserve">Whoever detects</t>
  </si>
  <si>
    <t xml:space="preserve">Detect and log the incident; record time, system, symptoms, initial impact.</t>
  </si>
  <si>
    <t xml:space="preserve">Incident ticket</t>
  </si>
  <si>
    <t xml:space="preserve">AI Risk + Model Owner</t>
  </si>
  <si>
    <t xml:space="preserve">Triage severity and classify; convene responders.</t>
  </si>
  <si>
    <t xml:space="preserve">Severity classification</t>
  </si>
  <si>
    <t xml:space="preserve">Contain: disengage / rollback / activate kill-switch; isolate affected components.</t>
  </si>
  <si>
    <t xml:space="preserve">Containment record</t>
  </si>
  <si>
    <t xml:space="preserve">Assess against the FSM-N05 (TRM) “relevant incident” threshold — severe/widespread operational impact, or material customer-service impact. If met: notify MAS within 1 HOUR of discovery (BCM hotline) and submit root-cause &amp; impact report within 14 DAYS. Notify internal stakeholders in parallel.</t>
  </si>
  <si>
    <t xml:space="preserve">MAS notification (≤1 hr); RCA &amp; impact report (≤14 days); stakeholder notification log</t>
  </si>
  <si>
    <t xml:space="preserve">Model Developer + AI Risk</t>
  </si>
  <si>
    <t xml:space="preserve">Root-cause analysis; remediate; verify fix.</t>
  </si>
  <si>
    <t xml:space="preserve">RCA &amp; remediation</t>
  </si>
  <si>
    <t xml:space="preserve">  Step 6</t>
  </si>
  <si>
    <t xml:space="preserve">Post-incident review; update controls, tests and playbook.</t>
  </si>
  <si>
    <t xml:space="preserve">Post-incident review</t>
  </si>
  <si>
    <t xml:space="preserve">PLAY 7 — Third-Party / Foundation-Model Onboarding</t>
  </si>
  <si>
    <t xml:space="preserve">Trigger: Procuring external AI model/service/data, or a vendor model version change    |    Frequency: On event    |    Owner — A: AI Risk Committee | R: Model Owner + Procurement    |    Exit gate: Approved vendor with documented responsibility allocation &amp; monitoring plan</t>
  </si>
  <si>
    <t xml:space="preserve">ISO A.10.2-A.10.4 | NIST GOVERN 6.1, 6.2, MAP 4.1, MANAGE 3.1, 3.2 | MAS M3.14 | MGF D1.5, D1.6</t>
  </si>
  <si>
    <t xml:space="preserve">Due diligence: responsible-AI posture, security, data rights, IP, known limitations.</t>
  </si>
  <si>
    <t xml:space="preserve">Due-diligence record</t>
  </si>
  <si>
    <t xml:space="preserve">Contractual clauses: responsibility allocation, change notification, audit rights, exit.</t>
  </si>
  <si>
    <t xml:space="preserve">Signed contract terms</t>
  </si>
  <si>
    <t xml:space="preserve">Assess concentration risk; pin model version; define change-notification triggers.</t>
  </si>
  <si>
    <t xml:space="preserve">Concentration &amp; versioning note</t>
  </si>
  <si>
    <t xml:space="preserve">Set up ongoing monitoring of the third-party model/service.</t>
  </si>
  <si>
    <t xml:space="preserve">Vendor monitoring plan</t>
  </si>
  <si>
    <t xml:space="preserve">PLAY 8 — Periodic Review &amp; Re-Validation</t>
  </si>
  <si>
    <t xml:space="preserve">Trigger: Scheduled (risk-tiered cadence) or material change    |    Frequency: Annual / risk-tiered    |    Owner — A: AI Risk Committee | R: Independent Validation    |    Exit gate: Re-approved, or escalated for change / retirement</t>
  </si>
  <si>
    <t xml:space="preserve">ISO A.2.4, A.6.2.4 | NIST MEASURE 1.2, MANAGE 4.2 | MAS M2.3, M3.12 | MGF D1.2, D2.2 | FEAT F1-F4 (re-assess)</t>
  </si>
  <si>
    <t xml:space="preserve">Re-run materiality assessment; confirm risk tier still correct.</t>
  </si>
  <si>
    <t xml:space="preserve">Annual / risk-tiered</t>
  </si>
  <si>
    <t xml:space="preserve">Updated materiality</t>
  </si>
  <si>
    <t xml:space="preserve">Re-validate model; review monitoring history and drift since last review; re-run the FEAT assessment (fairness drift F1, transparency F4) per cadence — annual for high-materiality, plus event-driven.</t>
  </si>
  <si>
    <t xml:space="preserve">Re-validation report</t>
  </si>
  <si>
    <t xml:space="preserve">Refresh impact assessment for any context/regulatory changes.</t>
  </si>
  <si>
    <t xml:space="preserve">Updated impact assessment</t>
  </si>
  <si>
    <t xml:space="preserve">Decide: re-approve, require changes, or retire.</t>
  </si>
  <si>
    <t xml:space="preserve">Committee decision</t>
  </si>
  <si>
    <t xml:space="preserve">PLAY 9 — Decommissioning</t>
  </si>
  <si>
    <t xml:space="preserve">Trigger: Model retired or replaced    |    Frequency: On event    |    Owner — A: Model Owner | R: AI Risk (2nd line)    |    Exit gate: Decommissioned safely; inventory updated; records archived</t>
  </si>
  <si>
    <t xml:space="preserve">ISO A.6.2.6 | NIST GOVERN 1.7, MANAGE 2.4 | MAS M3.13 | MGF D1.5</t>
  </si>
  <si>
    <t xml:space="preserve">Assess impact on dependent systems/users; plan safe phase-out.</t>
  </si>
  <si>
    <t xml:space="preserve">Phase-out plan</t>
  </si>
  <si>
    <t xml:space="preserve">Data Owner + DPO</t>
  </si>
  <si>
    <t xml:space="preserve">Handle data retention/disposal per policy and privacy obligations.</t>
  </si>
  <si>
    <t xml:space="preserve">Data disposal record</t>
  </si>
  <si>
    <t>InfoSec</t>
  </si>
  <si>
    <t xml:space="preserve">Remove access and credentials; decommission infrastructure.</t>
  </si>
  <si>
    <t xml:space="preserve">Access-removal log</t>
  </si>
  <si>
    <t xml:space="preserve">Archive documentation &amp; event logs; update the AI inventory.</t>
  </si>
  <si>
    <t xml:space="preserve">Archive &amp; inventory update</t>
  </si>
  <si>
    <t xml:space="preserve">PLAY 10 — Stress-Test / Red-Team Cycle</t>
  </si>
  <si>
    <t xml:space="preserve">Trigger: Scheduled per hotspot cadence + before any major release    |    Frequency: Quarterly + pre-release    |    Owner — A: AI Risk Committee | R: InfoSec + AI Risk    |    Exit gate: Results logged in Stress-Test Tracker; remediation tracked to closure</t>
  </si>
  <si>
    <t xml:space="preserve">NIST MEASURE 2.6, 2.7, MANAGE 1.1-1.4 | MAS M3.6, M3.15 | see Stress-Test Tracker tab | MGF D3.8, D3.9, D4.5</t>
  </si>
  <si>
    <t xml:space="preserve">Select hotspots in scope for this cycle (see Stress-Test Tracker).</t>
  </si>
  <si>
    <t xml:space="preserve">Quarterly + pre-release</t>
  </si>
  <si>
    <t xml:space="preserve">Scope note</t>
  </si>
  <si>
    <t xml:space="preserve">Design scenario / adversarial / red-team tests; chain hotspots where useful.</t>
  </si>
  <si>
    <t xml:space="preserve">Test plan</t>
  </si>
  <si>
    <t xml:space="preserve">InfoSec + Model Owner</t>
  </si>
  <si>
    <t xml:space="preserve">Execute tests in a controlled environment; capture findings.</t>
  </si>
  <si>
    <t xml:space="preserve">Test evidence</t>
  </si>
  <si>
    <t xml:space="preserve">Rate results and residual risk; log in tracker; raise remediation items.</t>
  </si>
  <si>
    <t xml:space="preserve">Updated tracker</t>
  </si>
  <si>
    <t xml:space="preserve">Review results; approve residual risk or require remediation.</t>
  </si>
  <si>
    <t xml:space="preserve">Committee sign-off</t>
  </si>
  <si>
    <t xml:space="preserve">PLAY 11 — Agentic Operation &amp; Human Oversight</t>
  </si>
  <si>
    <t xml:space="preserve">Trigger: Agentic AI system in live operation    |    Frequency: Continuous + monthly    |    Owner — A: AI Risk Committee | R: Model Owner + AI Risk    |    Exit gate: Oversight effectiveness evidenced; end-user disclosures &amp; training current</t>
  </si>
  <si>
    <t xml:space="preserve">ISO A.8.2-A.8.5, A.9.3-A.9.4, A.4.6 | NIST GOVERN 5.1, MEASURE 3.3 | MAS M1.5, M3.10 | MGF D2.5, D2.6, D2.7, D4.1-D4.5</t>
  </si>
  <si>
    <t xml:space="preserve">Model Owner + Compliance</t>
  </si>
  <si>
    <t xml:space="preserve">Publish end-user disclosures: agent capabilities, data access, limitations, and a human point of contact.</t>
  </si>
  <si>
    <t>Continuous</t>
  </si>
  <si>
    <t xml:space="preserve">Disclosure notice</t>
  </si>
  <si>
    <t xml:space="preserve">Model Owner + HR (capability)</t>
  </si>
  <si>
    <t xml:space="preserve">Train integrating users on oversight best practice, common failure modes and tradecraft preservation.</t>
  </si>
  <si>
    <t xml:space="preserve">On onboarding + periodic</t>
  </si>
  <si>
    <t xml:space="preserve">Training records</t>
  </si>
  <si>
    <t xml:space="preserve">Monitor human-oversight effectiveness — override rates and approval response times — to detect automation bias.</t>
  </si>
  <si>
    <t>Monthly</t>
  </si>
  <si>
    <t xml:space="preserve">Oversight-metrics report</t>
  </si>
  <si>
    <t xml:space="preserve">InfoSec + AI Risk</t>
  </si>
  <si>
    <t xml:space="preserve">In sensitive contexts, run end-user / red-team review of agent approval prompts and actions.</t>
  </si>
  <si>
    <t xml:space="preserve">Red-team review note</t>
  </si>
  <si>
    <t xml:space="preserve">Review oversight metrics and disclosures; confirm continued meaningful human accountability or require change.</t>
  </si>
  <si>
    <t>Note:</t>
  </si>
  <si>
    <t xml:space="preserve">* Play 2 (AI Impact &amp; Risk Assessment) -- trigers the FEAT assessment; Ethics/Accountability set at org level, Fairness/Transparency run per use case.</t>
  </si>
  <si>
    <t xml:space="preserve">* Play 3 &amp; 4 (Validation Gate/ Release Gate) - FEAT sign-off F1-F4; no high-materiality model releases without section D validation.</t>
  </si>
  <si>
    <t xml:space="preserve">* Play 5 &amp; 8 (Monitoring/ Re-validation) - fairness-drift (F1) and transparency (F4) re-assessment on cadence.</t>
  </si>
  <si>
    <t xml:space="preserve">Control Library - ISO 42001 — Control Tracker</t>
  </si>
  <si>
    <t xml:space="preserve">Control Objective</t>
  </si>
  <si>
    <t xml:space="preserve">Control ID</t>
  </si>
  <si>
    <t xml:space="preserve">Control Title</t>
  </si>
  <si>
    <t xml:space="preserve">Requirement (summary)</t>
  </si>
  <si>
    <t xml:space="preserve">Owner (role)</t>
  </si>
  <si>
    <t>Status</t>
  </si>
  <si>
    <t xml:space="preserve">Maturity (1-5)</t>
  </si>
  <si>
    <t xml:space="preserve">Evidence / artifact</t>
  </si>
  <si>
    <t xml:space="preserve">Last reviewed</t>
  </si>
  <si>
    <t xml:space="preserve">Next review</t>
  </si>
  <si>
    <t xml:space="preserve">Gap / notes</t>
  </si>
  <si>
    <t xml:space="preserve">Linked play</t>
  </si>
  <si>
    <t xml:space="preserve">A.2 Policies related to AI</t>
  </si>
  <si>
    <t>A.2.2</t>
  </si>
  <si>
    <t xml:space="preserve">AI policy</t>
  </si>
  <si>
    <t xml:space="preserve">Maintain a written, management-approved AI policy that sets out how the organisation develops and uses AI. The foundation every other control hangs off.</t>
  </si>
  <si>
    <t xml:space="preserve">AI Risk Cttee / Compliance</t>
  </si>
  <si>
    <t xml:space="preserve">Not started</t>
  </si>
  <si>
    <t>A.2.3</t>
  </si>
  <si>
    <t xml:space="preserve">Alignment with other organisational policies</t>
  </si>
  <si>
    <t xml:space="preserve">Ensure the AI policy is consistent with existing security, privacy, risk, HR, procurement and ethics policies; update those policies where they intersect rather than creating conflicts.</t>
  </si>
  <si>
    <t>A.2.4</t>
  </si>
  <si>
    <t xml:space="preserve">Review of the AI policy</t>
  </si>
  <si>
    <t xml:space="preserve">Review the AI policy on a planned cycle and whenever something material changes (new regulation, new use case, incident lessons) to confirm continued fitness and management support.</t>
  </si>
  <si>
    <t xml:space="preserve">Play 8</t>
  </si>
  <si>
    <t xml:space="preserve">A.3 Internal organisation</t>
  </si>
  <si>
    <t>A.3.2</t>
  </si>
  <si>
    <t xml:space="preserve">AI roles and responsibilities</t>
  </si>
  <si>
    <t xml:space="preserve">Define and explicitly assign accountability and responsibility for AI activities across the life cycle (risk, impact assessment, development, oversight, data quality, security, supplier management) so nothing falls in a gap.</t>
  </si>
  <si>
    <t>A.3.3</t>
  </si>
  <si>
    <t xml:space="preserve">Reporting of concerns</t>
  </si>
  <si>
    <t xml:space="preserve">Provide a reporting channel (anonymous/confidential where appropriate, protected from reprisal) for staff, contractors and external parties to raise concerns about AI, with defined investigation and escalation.</t>
  </si>
  <si>
    <t xml:space="preserve">Play 6</t>
  </si>
  <si>
    <t xml:space="preserve">A.4 Resources for AI systems</t>
  </si>
  <si>
    <t>A.4.2</t>
  </si>
  <si>
    <t xml:space="preserve">Resource documentation</t>
  </si>
  <si>
    <t xml:space="preserve">Build and maintain an inventory of the resources AI systems rely on at each life cycle stage; resource visibility makes risk assessment, impact assessment and incident response possible.</t>
  </si>
  <si>
    <t xml:space="preserve">Model Owner (1st line)</t>
  </si>
  <si>
    <t xml:space="preserve">Play 1</t>
  </si>
  <si>
    <t>A.4.3</t>
  </si>
  <si>
    <t xml:space="preserve">Data resources</t>
  </si>
  <si>
    <t xml:space="preserve">Record details of every dataset used: provenance, last-updated timestamps, category (training/validation/test/production), labelling process, intended purpose, quality, retention and known bias issues.</t>
  </si>
  <si>
    <t>A.4.4</t>
  </si>
  <si>
    <t xml:space="preserve">Tooling resources</t>
  </si>
  <si>
    <t xml:space="preserve">Record the algorithms, ML models, frameworks, libraries, optimisation/evaluation methods and provisioning tools the AI system depends on, to enable reproducibility and supply-chain risk assessment.</t>
  </si>
  <si>
    <t>A.4.5</t>
  </si>
  <si>
    <t xml:space="preserve">System and computing resources</t>
  </si>
  <si>
    <t xml:space="preserve">Record the compute, storage, network and hosting environments (on-prem, cloud, edge) the system runs on, including capacity constraints, dependencies and environmental impact of the hardware.</t>
  </si>
  <si>
    <t>A.4.6</t>
  </si>
  <si>
    <t xml:space="preserve">Human resources</t>
  </si>
  <si>
    <t xml:space="preserve">Record the people and competencies involved across every phase: not just developers but operators, domain experts, testers, oversight roles, and change/handover/decommissioning roles.</t>
  </si>
  <si>
    <t xml:space="preserve">Play 11</t>
  </si>
  <si>
    <t xml:space="preserve">A.5 Assessing impacts of AI systems</t>
  </si>
  <si>
    <t>A.5.2</t>
  </si>
  <si>
    <t xml:space="preserve">AI system impact assessment process</t>
  </si>
  <si>
    <t xml:space="preserve">Stand up a repeatable process for assessing how an AI system could affect people and society: triggers (criticality, complexity, sensitivity), scope, who performs it, and how outputs feed design/deployment/review.</t>
  </si>
  <si>
    <t xml:space="preserve">Play 1, 2</t>
  </si>
  <si>
    <t>A.5.3</t>
  </si>
  <si>
    <t xml:space="preserve">Documentation of AI system impact assessments</t>
  </si>
  <si>
    <t xml:space="preserve">Keep written records of every impact assessment (intended use, foreseeable misuse, predictable failures and mitigations, affected groups, oversight arrangements) and retain them for a defined period.</t>
  </si>
  <si>
    <t xml:space="preserve">Play 2</t>
  </si>
  <si>
    <t>A.5.4</t>
  </si>
  <si>
    <t xml:space="preserve">Assessing AI system impact on individuals or groups of individuals</t>
  </si>
  <si>
    <t xml:space="preserve">Consider how the system could affect individuals or groups: fairness, accountability, transparency, privacy, safety, health, accessibility, financial and human-rights consequences, with attention to protected groups.</t>
  </si>
  <si>
    <t>A.5.5</t>
  </si>
  <si>
    <t xml:space="preserve">Assessing societal impacts of AI systems</t>
  </si>
  <si>
    <t xml:space="preserve">Extend the assessment beyond direct users: environmental footprint, economic impact, effects on democratic/government processes, public health and safety, cultural/ethical norms and potential for deliberate misuse.</t>
  </si>
  <si>
    <t xml:space="preserve">A.6 AI system life cycle</t>
  </si>
  <si>
    <t>A.6.1.2</t>
  </si>
  <si>
    <t xml:space="preserve">Objectives for responsible development of AI system</t>
  </si>
  <si>
    <t xml:space="preserve">Set clear responsible-development objectives (fairness, transparency, robustness, privacy, safety) and bake them into development as measurable design inputs teams are accountable to.</t>
  </si>
  <si>
    <t xml:space="preserve">Model Developer / Indep. Validation</t>
  </si>
  <si>
    <t>A.6.1.3</t>
  </si>
  <si>
    <t xml:space="preserve">Processes for responsible design and development of AI systems</t>
  </si>
  <si>
    <t xml:space="preserve">Document the actual steps for responsible design/build: life cycle stages, testing requirements, human oversight, training-data rules, release criteria, approvals, change control and stakeholder engagement.</t>
  </si>
  <si>
    <t>A.6.2.2</t>
  </si>
  <si>
    <t xml:space="preserve">AI system requirements and specification</t>
  </si>
  <si>
    <t xml:space="preserve">Capture functional and non-functional requirements (including risk and responsible-AI requirements) before building, document rationale, and keep requirements under change control as the system evolves.</t>
  </si>
  <si>
    <t xml:space="preserve">Play 3</t>
  </si>
  <si>
    <t>A.6.2.3</t>
  </si>
  <si>
    <t xml:space="preserve">Documentation of AI system design and development</t>
  </si>
  <si>
    <t xml:space="preserve">Maintain a traceable record of design decisions (ML approach, algorithms, data assumptions, components, security threats, UI, human interaction, interoperability) tied back to requirements.</t>
  </si>
  <si>
    <t>A.6.2.4</t>
  </si>
  <si>
    <t xml:space="preserve">AI system verification and validation</t>
  </si>
  <si>
    <t xml:space="preserve">Define how the system is verified (built right) and validated (built the right thing): testing methodologies, test-data selection, release-criteria thresholds and acceptable error rates for the use case.</t>
  </si>
  <si>
    <t xml:space="preserve">Play 3, 8</t>
  </si>
  <si>
    <t>A.6.2.5</t>
  </si>
  <si>
    <t xml:space="preserve">AI system deployment</t>
  </si>
  <si>
    <t xml:space="preserve">Maintain a written deployment plan with release criteria, approvals and rollback; do not release until satisfied, especially when the deployment environment differs from development.</t>
  </si>
  <si>
    <t xml:space="preserve">Play 4</t>
  </si>
  <si>
    <t>A.6.2.6</t>
  </si>
  <si>
    <t xml:space="preserve">AI system operation and monitoring</t>
  </si>
  <si>
    <t xml:space="preserve">Define day-to-day running: performance monitoring (incl. drift, continuous-learning changes, AI-specific threats like data poisoning), repairs, updates and user support, each with clear ownership.</t>
  </si>
  <si>
    <t xml:space="preserve">Play 5, 6, 9</t>
  </si>
  <si>
    <t>A.6.2.7</t>
  </si>
  <si>
    <t xml:space="preserve">AI system technical documentation</t>
  </si>
  <si>
    <t xml:space="preserve">Decide what technical documentation each audience (users, partners, auditors, regulators) needs and deliver it usably: intended purpose, usage instructions, run-time assumptions, limitations, monitoring functions.</t>
  </si>
  <si>
    <t>A.6.2.8</t>
  </si>
  <si>
    <t xml:space="preserve">AI system recording of event logs</t>
  </si>
  <si>
    <t xml:space="preserve">Decide what events get logged and at which stages (at minimum during operation) to evidence behaviour, trace issues, support audit/incident response and detect drift outside intended conditions.</t>
  </si>
  <si>
    <t xml:space="preserve">A.7 Data for AI systems</t>
  </si>
  <si>
    <t>A.7.2</t>
  </si>
  <si>
    <t xml:space="preserve">Data for development and enhancement of AI system</t>
  </si>
  <si>
    <t xml:space="preserve">Operate data-management processes for development data: privacy and security, representativeness against the operational domain, explainability/provenance, and accuracy/integrity of underlying data.</t>
  </si>
  <si>
    <t>A.7.3</t>
  </si>
  <si>
    <t xml:space="preserve">Acquisition of data</t>
  </si>
  <si>
    <t xml:space="preserve">Document where each dataset comes from and how it was chosen (internal/purchased/shared/open/synthetic, static/streamed), known biases, data rights, prior uses and metadata, so downstream decisions are defensible.</t>
  </si>
  <si>
    <t>A.7.4</t>
  </si>
  <si>
    <t xml:space="preserve">Quality of data for AI systems</t>
  </si>
  <si>
    <t xml:space="preserve">Set explicit data-quality criteria (accuracy, completeness, currency, representativeness), verify training and production data meet them, and address fairness/bias impact, adjusting data or model as needed.</t>
  </si>
  <si>
    <t>A.7.5</t>
  </si>
  <si>
    <t xml:space="preserve">Data provenance</t>
  </si>
  <si>
    <t xml:space="preserve">Track where each dataset came from and what happened to it (creation, updates, transformations, validation, transfers, sharing) across the data and system life cycles so lineage stays recoverable.</t>
  </si>
  <si>
    <t>A.7.6</t>
  </si>
  <si>
    <t xml:space="preserve">Data preparation</t>
  </si>
  <si>
    <t xml:space="preserve">Decide which data-preparation techniques (cleaning, labelling, augmentation, normalisation, encoding) are acceptable, document the methods chosen per dataset and record the rationale so choices can be reviewed/repeated.</t>
  </si>
  <si>
    <t xml:space="preserve">A.8 Information for interested parties</t>
  </si>
  <si>
    <t>A.8.2</t>
  </si>
  <si>
    <t xml:space="preserve">System documentation and information for users</t>
  </si>
  <si>
    <t xml:space="preserve">Give users enough information to operate the system safely and responsibly: capabilities, limits, expected inputs/outputs, known failure modes and human-oversight options, in plain language.</t>
  </si>
  <si>
    <t>A.8.3</t>
  </si>
  <si>
    <t xml:space="preserve">External reporting</t>
  </si>
  <si>
    <t xml:space="preserve">Provide a way for anyone affected (customers, data subjects, public) to report problems, complaints or unintended consequences, and define how reports are triaged, investigated and resolved.</t>
  </si>
  <si>
    <t>A.8.4</t>
  </si>
  <si>
    <t xml:space="preserve">Communication of incidents</t>
  </si>
  <si>
    <t xml:space="preserve">Plan in advance how to inform users and affected parties when an AI incident occurs: what to say, who says it, how fast and through what channel, aligned with regulatory notification obligations.</t>
  </si>
  <si>
    <t xml:space="preserve">Play 6, 11</t>
  </si>
  <si>
    <t>A.8.5</t>
  </si>
  <si>
    <t xml:space="preserve">Information for interested parties</t>
  </si>
  <si>
    <t xml:space="preserve">Decide what other AI-system information (beyond incidents) must be proactively shared with regulators, partners, customers and the public, and document how, when and in what form.</t>
  </si>
  <si>
    <t xml:space="preserve">A.9 Use of AI systems</t>
  </si>
  <si>
    <t>A.9.2</t>
  </si>
  <si>
    <t xml:space="preserve">Processes for responsible use of AI systems</t>
  </si>
  <si>
    <t xml:space="preserve">Document how the system is meant to be used responsibly: human-oversight expectations, acceptable-use rules, escalation paths, operator training and conditions under which use is paused or stopped.</t>
  </si>
  <si>
    <t>A.9.3</t>
  </si>
  <si>
    <t xml:space="preserve">Objectives for responsible use of AI system</t>
  </si>
  <si>
    <t xml:space="preserve">Define responsible-use objectives the system is operated against (fairness thresholds, human-in-the-loop requirements, safety tolerances) so operational decisions have a clear reference.</t>
  </si>
  <si>
    <t xml:space="preserve">Play 4, 11</t>
  </si>
  <si>
    <t>A.9.4</t>
  </si>
  <si>
    <t xml:space="preserve">Intended use of the AI system</t>
  </si>
  <si>
    <t xml:space="preserve">Prevent scope creep: ensure the system is used for its designed purpose, with controls that stop it being repurposed, extended or used in unintended contexts without re-assessment.</t>
  </si>
  <si>
    <t xml:space="preserve">A.10 Third-party and customer relationships</t>
  </si>
  <si>
    <t>A.10.2</t>
  </si>
  <si>
    <t xml:space="preserve">Allocation of responsibilities</t>
  </si>
  <si>
    <t xml:space="preserve">Make explicit who is responsible for what across the AI supply chain (organisation, suppliers, partners, customers, third parties) so there are no accountability gaps across the life cycle.</t>
  </si>
  <si>
    <t xml:space="preserve">Procurement + AI Risk</t>
  </si>
  <si>
    <t xml:space="preserve">Play 7</t>
  </si>
  <si>
    <t>A.10.3</t>
  </si>
  <si>
    <t>Suppliers</t>
  </si>
  <si>
    <t xml:space="preserve">Vet and manage suppliers of AI services, data, models and tooling against responsible-AI expectations via due diligence, contracts, assessments and ongoing oversight.</t>
  </si>
  <si>
    <t>A.10.4</t>
  </si>
  <si>
    <t>Customers</t>
  </si>
  <si>
    <t xml:space="preserve">Factor customer obligations (contracts, regulatory promises, duty of care, trust commitments) into the responsible-AI approach before decisions about development, provision or use are finalised.</t>
  </si>
  <si>
    <t xml:space="preserve">Control Library - NIST AI RMF — Control Tracker</t>
  </si>
  <si>
    <t>Function</t>
  </si>
  <si>
    <t>Category</t>
  </si>
  <si>
    <t xml:space="preserve">Category statement</t>
  </si>
  <si>
    <t>Subcategory</t>
  </si>
  <si>
    <t xml:space="preserve">Subcategory outcome</t>
  </si>
  <si>
    <t>GOVERN</t>
  </si>
  <si>
    <t xml:space="preserve">GOVERN 1</t>
  </si>
  <si>
    <t xml:space="preserve">Policies, processes, procedures and practices across the organization related to the mapping, measuring and managing of AI risks are in place, transparent, and implemented effectively.</t>
  </si>
  <si>
    <t xml:space="preserve">GOVERN 1.1</t>
  </si>
  <si>
    <t xml:space="preserve">Legal and regulatory requirements involving AI are understood, managed, and documented.</t>
  </si>
  <si>
    <t xml:space="preserve">AI Risk Cttee / Senior Mgmt</t>
  </si>
  <si>
    <t xml:space="preserve">GOVERN 1.2</t>
  </si>
  <si>
    <t xml:space="preserve">The characteristics of trustworthy AI are integrated into organizational policies, processes, procedures, and practices.</t>
  </si>
  <si>
    <t xml:space="preserve">GOVERN 1.3</t>
  </si>
  <si>
    <t xml:space="preserve">Processes, procedures and practices are in place to determine the needed level of risk management activities based on the organization's risk tolerance.</t>
  </si>
  <si>
    <t xml:space="preserve">GOVERN 1.4</t>
  </si>
  <si>
    <t xml:space="preserve">The risk management process and its outcomes are established through transparent policies, procedures and other controls based on organizational risk priorities.</t>
  </si>
  <si>
    <t xml:space="preserve">GOVERN 1.5</t>
  </si>
  <si>
    <t xml:space="preserve">Ongoing monitoring and periodic review of the risk management process and its outcomes are planned, and organizational roles and responsibilities are clearly defined, including determining the frequency of periodic review.</t>
  </si>
  <si>
    <t xml:space="preserve">GOVERN 1.6</t>
  </si>
  <si>
    <t xml:space="preserve">Mechanisms are in place to inventory AI systems and are resourced according to organizational risk priorities.</t>
  </si>
  <si>
    <t xml:space="preserve">GOVERN 1.7</t>
  </si>
  <si>
    <t xml:space="preserve">Processes and procedures are in place for decommissioning and phasing out AI systems safely and in a manner that does not increase risks or decrease the organization's trustworthiness.</t>
  </si>
  <si>
    <t xml:space="preserve">Play 9</t>
  </si>
  <si>
    <t xml:space="preserve">GOVERN 2</t>
  </si>
  <si>
    <t xml:space="preserve">Accountability structures are in place so that the appropriate teams and individuals are empowered, responsible, and trained for mapping, measuring and managing AI risks.</t>
  </si>
  <si>
    <t xml:space="preserve">GOVERN 2.1</t>
  </si>
  <si>
    <t xml:space="preserve">Roles and responsibilities and lines of communication related to mapping, measuring and managing AI risks are documented and are clear to individuals and teams throughout the organization.</t>
  </si>
  <si>
    <t xml:space="preserve">GOVERN 2.2</t>
  </si>
  <si>
    <t xml:space="preserve">The organization's personnel and partners receive AI risk management training to enable them to perform their duties and responsibilities consistent with related policies, procedures and agreements.</t>
  </si>
  <si>
    <t xml:space="preserve">GOVERN 2.3</t>
  </si>
  <si>
    <t xml:space="preserve">Executive leadership of the organization takes responsibility for decisions about risks associated with AI system development and deployment.</t>
  </si>
  <si>
    <t xml:space="preserve">GOVERN 3</t>
  </si>
  <si>
    <t xml:space="preserve">Workforce diversity, equity, inclusion and accessibility processes are prioritized in the mapping, measuring and managing of AI risks throughout the lifecycle.</t>
  </si>
  <si>
    <t xml:space="preserve">GOVERN 3.1</t>
  </si>
  <si>
    <t xml:space="preserve">Decision-making related to mapping, measuring and managing AI risks throughout the lifecycle is informed by a diverse team (e.g., diversity of demographics, disciplines, experience, expertise, and backgrounds).</t>
  </si>
  <si>
    <t xml:space="preserve">GOVERN 3.2</t>
  </si>
  <si>
    <t xml:space="preserve">Policies and procedures are in place to define and differentiate roles and responsibilities for human-AI configurations and oversight of AI systems.</t>
  </si>
  <si>
    <t xml:space="preserve">GOVERN 4</t>
  </si>
  <si>
    <t xml:space="preserve">Organizational teams are committed to a culture that considers and communicates AI risk.</t>
  </si>
  <si>
    <t xml:space="preserve">GOVERN 4.1</t>
  </si>
  <si>
    <t xml:space="preserve">Organizational policies and practices are in place to foster a critical thinking and safety-first mindset in the design, development, deployment, and uses of AI systems to minimize potential negative impacts.</t>
  </si>
  <si>
    <t xml:space="preserve">GOVERN 4.2</t>
  </si>
  <si>
    <t xml:space="preserve">Organizational teams document the risks and potential impacts of the AI technology they design, develop, deploy, evaluate and use, and they communicate about the impacts more broadly.</t>
  </si>
  <si>
    <t xml:space="preserve">GOVERN 4.3</t>
  </si>
  <si>
    <t xml:space="preserve">Organizational practices are in place to enable AI testing, identification of incidents, and information sharing.</t>
  </si>
  <si>
    <t xml:space="preserve">GOVERN 5</t>
  </si>
  <si>
    <t xml:space="preserve">Processes are in place for robust engagement with relevant AI actors.</t>
  </si>
  <si>
    <t xml:space="preserve">GOVERN 5.1</t>
  </si>
  <si>
    <t xml:space="preserve">Organizational policies and practices are in place to collect, consider, prioritize and integrate feedback from those external to the team that developed or deployed the AI system regarding the potential individual and societal impacts related to AI risks.</t>
  </si>
  <si>
    <t xml:space="preserve">GOVERN 5.2</t>
  </si>
  <si>
    <t xml:space="preserve">Mechanisms are established to enable the team that developed or deployed AI systems to regularly incorporate adjudicated feedback from relevant AI actors into system design and implementation.</t>
  </si>
  <si>
    <t xml:space="preserve">GOVERN 6</t>
  </si>
  <si>
    <t xml:space="preserve">Policies and procedures are in place to address AI risks and benefits arising from third-party software and data and other supply chain issues.</t>
  </si>
  <si>
    <t xml:space="preserve">GOVERN 6.1</t>
  </si>
  <si>
    <t xml:space="preserve">Policies and procedures are in place that address AI risks associated with third-party entities, including risks of infringement of a third party's intellectual property or other rights.</t>
  </si>
  <si>
    <t xml:space="preserve">GOVERN 6.2</t>
  </si>
  <si>
    <t xml:space="preserve">Contingency processes are in place to handle failures or incidents in third-party data or AI systems deemed to be high-risk.</t>
  </si>
  <si>
    <t>MAP</t>
  </si>
  <si>
    <t xml:space="preserve">MAP 1</t>
  </si>
  <si>
    <t xml:space="preserve">Context is established and understood.</t>
  </si>
  <si>
    <t xml:space="preserve">MAP 1.1</t>
  </si>
  <si>
    <t xml:space="preserve">Intended purposes, potentially beneficial uses, context-specific laws, norms and expectations, and prospective settings in which the AI system will be deployed are understood and documented.</t>
  </si>
  <si>
    <t xml:space="preserve">MAP 1.2</t>
  </si>
  <si>
    <t xml:space="preserve">Interdisciplinary AI actors, competencies, skills and capacities for establishing context reflect demographic diversity and broad domain and user experience expertise, and their participation is documented. Opportunities for interdisciplinary collaboration are prioritized.</t>
  </si>
  <si>
    <t xml:space="preserve">MAP 1.3</t>
  </si>
  <si>
    <t xml:space="preserve">The organization's mission and relevant goals for AI technology are understood and documented.</t>
  </si>
  <si>
    <t xml:space="preserve">MAP 1.4</t>
  </si>
  <si>
    <t xml:space="preserve">The business value or context of business use has been clearly defined or, in the case of assessing existing AI systems, re-evaluated.</t>
  </si>
  <si>
    <t xml:space="preserve">MAP 1.5</t>
  </si>
  <si>
    <t xml:space="preserve">Organizational risk tolerances are determined and documented.</t>
  </si>
  <si>
    <t xml:space="preserve">MAP 1.6</t>
  </si>
  <si>
    <t xml:space="preserve">System requirements (e.g., the system shall respect the privacy of its users) are elicited from and understood by relevant AI actors. Design decisions take socio-technical implications into account to address AI risks.</t>
  </si>
  <si>
    <t xml:space="preserve">MAP 2</t>
  </si>
  <si>
    <t xml:space="preserve">Categorization of the AI system is performed.</t>
  </si>
  <si>
    <t xml:space="preserve">MAP 2.1</t>
  </si>
  <si>
    <t xml:space="preserve">The specific tasks and methods used to implement the tasks that the AI system will support are defined (e.g., classifiers, generative models, recommenders).</t>
  </si>
  <si>
    <t xml:space="preserve">MAP 2.2</t>
  </si>
  <si>
    <t xml:space="preserve">Information about the AI system's knowledge limits and how system output may be utilized and overseen by humans is documented.</t>
  </si>
  <si>
    <t xml:space="preserve">MAP 2.3</t>
  </si>
  <si>
    <t xml:space="preserve">Scientific integrity and TEVV considerations are identified and documented, including those related to experimental design, data collection and selection (e.g., availability, representativeness, suitability), system trustworthiness, and construct validation.</t>
  </si>
  <si>
    <t xml:space="preserve">MAP 3</t>
  </si>
  <si>
    <t xml:space="preserve">AI capabilities, targeted usage, goals, and expected benefits and costs compared with appropriate benchmarks are understood.</t>
  </si>
  <si>
    <t xml:space="preserve">MAP 3.1</t>
  </si>
  <si>
    <t xml:space="preserve">Potential benefits of intended AI system functionality and performance are examined and documented.</t>
  </si>
  <si>
    <t xml:space="preserve">MAP 3.2</t>
  </si>
  <si>
    <t xml:space="preserve">Potential costs, including non-monetary costs, which result from expected or realized AI errors or system functionality and trustworthiness, as connected to organizational risk tolerance, are examined and documented.</t>
  </si>
  <si>
    <t xml:space="preserve">MAP 3.3</t>
  </si>
  <si>
    <t xml:space="preserve">Targeted application scope is specified and documented based on the system's capability, established context, and AI system categorization.</t>
  </si>
  <si>
    <t xml:space="preserve">MAP 3.4</t>
  </si>
  <si>
    <t xml:space="preserve">Processes for operator and practitioner proficiency with AI system performance and trustworthiness, and relevant technical standards and certifications, are defined, assessed and documented.</t>
  </si>
  <si>
    <t xml:space="preserve">MAP 3.5</t>
  </si>
  <si>
    <t xml:space="preserve">Processes for human oversight are defined, assessed and documented in accordance with organizational policies from the GOVERN function.</t>
  </si>
  <si>
    <t xml:space="preserve">MAP 4</t>
  </si>
  <si>
    <t xml:space="preserve">Risks and benefits are mapped for all components of the AI system including third-party software and data.</t>
  </si>
  <si>
    <t xml:space="preserve">MAP 4.1</t>
  </si>
  <si>
    <t xml:space="preserve">Approaches for mapping AI technology and legal risks of its components, including the use of third-party data or software, are in place, followed and documented, as are risks of infringement of a third party's intellectual property or other rights.</t>
  </si>
  <si>
    <t xml:space="preserve">MAP 4.2</t>
  </si>
  <si>
    <t xml:space="preserve">Internal risk controls for components of the AI system, including third-party AI technologies, are identified and documented.</t>
  </si>
  <si>
    <t xml:space="preserve">MAP 5</t>
  </si>
  <si>
    <t xml:space="preserve">Impacts to individuals, groups, communities, organizations, and society are characterized.</t>
  </si>
  <si>
    <t xml:space="preserve">MAP 5.1</t>
  </si>
  <si>
    <t xml:space="preserve">Likelihood and magnitude of each identified impact (both potentially beneficial and harmful) based on expected use, past uses of AI systems in similar contexts, public incident reports, feedback, or other data are identified and documented.</t>
  </si>
  <si>
    <t xml:space="preserve">MAP 5.2</t>
  </si>
  <si>
    <t xml:space="preserve">Practices and personnel for supporting regular engagement with relevant AI actors and integrating feedback about positive, negative and unanticipated impacts are in place and documented.</t>
  </si>
  <si>
    <t>MEASURE</t>
  </si>
  <si>
    <t xml:space="preserve">MEASURE 1</t>
  </si>
  <si>
    <t xml:space="preserve">Appropriate methods and metrics are identified and applied.</t>
  </si>
  <si>
    <t xml:space="preserve">MEASURE 1.1</t>
  </si>
  <si>
    <t xml:space="preserve">Approaches and metrics for measurement of AI risks enumerated during the MAP function are selected for implementation starting with the most significant AI risks. Risks or trustworthiness characteristics that cannot be measured are properly documented.</t>
  </si>
  <si>
    <t xml:space="preserve">Indep. Validation / InfoSec</t>
  </si>
  <si>
    <t xml:space="preserve">MEASURE 1.2</t>
  </si>
  <si>
    <t xml:space="preserve">Appropriateness of AI metrics and effectiveness of existing controls are regularly assessed and updated, including reports of errors and potential impacts on affected communities.</t>
  </si>
  <si>
    <t xml:space="preserve">MEASURE 1.3</t>
  </si>
  <si>
    <t xml:space="preserve">Internal experts who did not serve as front-line developers for the system and/or independent assessors are involved in regular assessments and updates. Domain experts, users, AI actors external to the team, and affected communities are consulted as necessary.</t>
  </si>
  <si>
    <t xml:space="preserve">MEASURE 2</t>
  </si>
  <si>
    <t xml:space="preserve">AI systems are evaluated for trustworthy characteristics.</t>
  </si>
  <si>
    <t xml:space="preserve">MEASURE 2.1</t>
  </si>
  <si>
    <t xml:space="preserve">Test sets, metrics and details about the tools used during TEVV are documented.</t>
  </si>
  <si>
    <t xml:space="preserve">MEASURE 2.2</t>
  </si>
  <si>
    <t xml:space="preserve">Evaluations involving human subjects meet applicable requirements (including human subject protection) and are representative of the relevant population.</t>
  </si>
  <si>
    <t xml:space="preserve">MEASURE 2.3</t>
  </si>
  <si>
    <t xml:space="preserve">AI system performance or assurance criteria are measured qualitatively or quantitatively and demonstrated for conditions similar to deployment setting(s). Measures are documented.</t>
  </si>
  <si>
    <t xml:space="preserve">Play 3, 4</t>
  </si>
  <si>
    <t xml:space="preserve">MEASURE 2.4</t>
  </si>
  <si>
    <t xml:space="preserve">The functionality and behavior of the AI system and its components, as identified in the MAP function, are monitored when in production.</t>
  </si>
  <si>
    <t xml:space="preserve">Play 3, 5</t>
  </si>
  <si>
    <t xml:space="preserve">MEASURE 2.5</t>
  </si>
  <si>
    <t xml:space="preserve">The AI system to be deployed is demonstrated to be valid and reliable. Limitations of the generalizability beyond the conditions under which the technology was developed are documented.</t>
  </si>
  <si>
    <t xml:space="preserve">MEASURE 2.6</t>
  </si>
  <si>
    <t xml:space="preserve">The AI system is evaluated regularly for safety risks. It is demonstrated to be safe, its residual negative risk does not exceed the risk tolerance, and it can fail safely, particularly if made to operate beyond its knowledge limits.</t>
  </si>
  <si>
    <t xml:space="preserve">Play 3, 10</t>
  </si>
  <si>
    <t xml:space="preserve">MEASURE 2.7</t>
  </si>
  <si>
    <t xml:space="preserve">AI system security and resilience, as identified in the MAP function, are evaluated and documented.</t>
  </si>
  <si>
    <t xml:space="preserve">MEASURE 2.8</t>
  </si>
  <si>
    <t xml:space="preserve">Risks associated with transparency and accountability, as identified in the MAP function, are examined and documented.</t>
  </si>
  <si>
    <t xml:space="preserve">MEASURE 2.9</t>
  </si>
  <si>
    <t xml:space="preserve">The AI model is explained, validated and documented, and AI system output is interpreted within its context to inform responsible use and governance.</t>
  </si>
  <si>
    <t xml:space="preserve">MEASURE 2.10</t>
  </si>
  <si>
    <t xml:space="preserve">Privacy risk of the AI system, as identified in the MAP function, is examined and documented.</t>
  </si>
  <si>
    <t xml:space="preserve">MEASURE 2.11</t>
  </si>
  <si>
    <t xml:space="preserve">Fairness and bias, as identified in the MAP function, are evaluated and results are documented.</t>
  </si>
  <si>
    <t xml:space="preserve">MEASURE 2.12</t>
  </si>
  <si>
    <t xml:space="preserve">Environmental impact and sustainability of AI model training and management activities, as identified in the MAP function, are assessed and documented.</t>
  </si>
  <si>
    <t xml:space="preserve">MEASURE 2.13</t>
  </si>
  <si>
    <t xml:space="preserve">Effectiveness of the employed TEVV metrics and processes in the MEASURE function are evaluated and documented.</t>
  </si>
  <si>
    <t xml:space="preserve">MEASURE 3</t>
  </si>
  <si>
    <t xml:space="preserve">Mechanisms for tracking identified AI risks over time are in place.</t>
  </si>
  <si>
    <t xml:space="preserve">MEASURE 3.1</t>
  </si>
  <si>
    <t xml:space="preserve">Approaches, personnel and documentation are in place to regularly identify and track existing, unanticipated and emergent AI risks based on factors such as intended and actual performance in deployed contexts.</t>
  </si>
  <si>
    <t xml:space="preserve">Play 5</t>
  </si>
  <si>
    <t xml:space="preserve">MEASURE 3.2</t>
  </si>
  <si>
    <t xml:space="preserve">Risk tracking approaches are considered for settings where AI risks are difficult to assess using currently available measurement techniques or where metrics are not yet available.</t>
  </si>
  <si>
    <t xml:space="preserve">MEASURE 3.3</t>
  </si>
  <si>
    <t xml:space="preserve">Feedback processes for end users and impacted communities to report problems and appeal system outcomes are established and integrated into AI system evaluation metrics.</t>
  </si>
  <si>
    <t xml:space="preserve">MEASURE 4</t>
  </si>
  <si>
    <t xml:space="preserve">Feedback about efficacy of measurement is gathered and assessed.</t>
  </si>
  <si>
    <t xml:space="preserve">MEASURE 4.1</t>
  </si>
  <si>
    <t xml:space="preserve">Measurement approaches for identifying AI risks are connected to deployment context(s) and informed through consultation with domain experts and other end users. Approaches are documented.</t>
  </si>
  <si>
    <t xml:space="preserve">MEASURE 4.2</t>
  </si>
  <si>
    <t xml:space="preserve">Measurement results regarding AI system trustworthiness in deployment context(s) and across the AI lifecycle are informed by input from domain experts and relevant AI actors to validate whether the system is performing consistently as intended. Results are documented.</t>
  </si>
  <si>
    <t xml:space="preserve">MEASURE 4.3</t>
  </si>
  <si>
    <t xml:space="preserve">Measurable performance improvements or declines based on consultations with relevant AI actors, including affected communities, and field data about context-relevant risks and trustworthiness characteristics are identified and documented.</t>
  </si>
  <si>
    <t>MANAGE</t>
  </si>
  <si>
    <t xml:space="preserve">MANAGE 1</t>
  </si>
  <si>
    <t xml:space="preserve">AI risks based on assessments and other analytical output from the MAP and MEASURE functions are prioritized, responded to, and managed.</t>
  </si>
  <si>
    <t xml:space="preserve">MANAGE 1.1</t>
  </si>
  <si>
    <t xml:space="preserve">A determination is made as to whether the AI system achieves its intended purposes and stated objectives and whether its development or deployment should proceed.</t>
  </si>
  <si>
    <t xml:space="preserve">Play 4, 10</t>
  </si>
  <si>
    <t xml:space="preserve">MANAGE 1.2</t>
  </si>
  <si>
    <t xml:space="preserve">Treatment of documented AI risks is prioritized based on impact, likelihood and available resources or methods.</t>
  </si>
  <si>
    <t xml:space="preserve">Play 10</t>
  </si>
  <si>
    <t xml:space="preserve">MANAGE 1.3</t>
  </si>
  <si>
    <t xml:space="preserve">Responses to the AI risks deemed high priority, as identified by the MAP function, are developed, planned and documented. Risk response options can include mitigating, transferring, avoiding or accepting.</t>
  </si>
  <si>
    <t xml:space="preserve">MANAGE 1.4</t>
  </si>
  <si>
    <t xml:space="preserve">Negative residual risks (defined as the sum of all unmitigated risks) to both downstream acquirers of AI systems and end users are documented.</t>
  </si>
  <si>
    <t xml:space="preserve">MANAGE 2</t>
  </si>
  <si>
    <t xml:space="preserve">Strategies to maximize AI benefits and minimize negative impacts are planned, prepared, implemented, documented, and informed by input from relevant AI actors.</t>
  </si>
  <si>
    <t xml:space="preserve">MANAGE 2.1</t>
  </si>
  <si>
    <t xml:space="preserve">Resources required to manage AI risks are taken into account, along with viable non-AI alternative systems, approaches or methods, to reduce the magnitude or likelihood of potential impacts.</t>
  </si>
  <si>
    <t xml:space="preserve">MANAGE 2.2</t>
  </si>
  <si>
    <t xml:space="preserve">Mechanisms are in place and applied to sustain the value of deployed AI systems.</t>
  </si>
  <si>
    <t xml:space="preserve">MANAGE 2.3</t>
  </si>
  <si>
    <t xml:space="preserve">Procedures are followed to respond to and recover from a previously unknown risk when it is identified.</t>
  </si>
  <si>
    <t xml:space="preserve">MANAGE 2.4</t>
  </si>
  <si>
    <t xml:space="preserve">Mechanisms are in place and applied, and responsibilities are assigned and understood, to supersede, disengage or deactivate AI systems that demonstrate performance or outcomes inconsistent with intended use.</t>
  </si>
  <si>
    <t xml:space="preserve">Play 6, 9</t>
  </si>
  <si>
    <t xml:space="preserve">MANAGE 3</t>
  </si>
  <si>
    <t xml:space="preserve">AI risks and benefits from third-party entities are managed.</t>
  </si>
  <si>
    <t xml:space="preserve">MANAGE 3.1</t>
  </si>
  <si>
    <t xml:space="preserve">AI risks and benefits from third-party resources are regularly monitored, and risk controls are applied and documented.</t>
  </si>
  <si>
    <t xml:space="preserve">MANAGE 3.2</t>
  </si>
  <si>
    <t xml:space="preserve">Pre-trained models which are used for development are monitored as part of AI system regular monitoring and maintenance.</t>
  </si>
  <si>
    <t xml:space="preserve">MANAGE 4</t>
  </si>
  <si>
    <t xml:space="preserve">Risk treatments, including response and recovery, and communication plans for the identified and measured AI risks are documented and monitored regularly.</t>
  </si>
  <si>
    <t xml:space="preserve">MANAGE 4.1</t>
  </si>
  <si>
    <t xml:space="preserve">Post-deployment AI system monitoring plans are implemented, including mechanisms for capturing and evaluating input from users and other relevant AI actors, appeal and override, decommissioning, incident response, recovery, and change management.</t>
  </si>
  <si>
    <t xml:space="preserve">MANAGE 4.2</t>
  </si>
  <si>
    <t xml:space="preserve">Measurable activities for continual improvements are integrated into AI system updates and include regular engagement with interested parties, including relevant AI actors.</t>
  </si>
  <si>
    <t xml:space="preserve">MANAGE 4.3</t>
  </si>
  <si>
    <t xml:space="preserve">Incidents and errors are communicated to relevant AI actors, including affected communities. Processes for tracking, responding to and recovering from incidents and errors are followed and documented.</t>
  </si>
  <si>
    <t xml:space="preserve">Control Library - MAS — Control Tracker</t>
  </si>
  <si>
    <t xml:space="preserve">MAS Pillar</t>
  </si>
  <si>
    <t xml:space="preserve">MAS ref</t>
  </si>
  <si>
    <t xml:space="preserve">MAS expectation area</t>
  </si>
  <si>
    <t xml:space="preserve">Primary MAS source</t>
  </si>
  <si>
    <t xml:space="preserve">ISO 42001</t>
  </si>
  <si>
    <t xml:space="preserve">NIST AI RMF</t>
  </si>
  <si>
    <t xml:space="preserve">Linked agentic controls (MGF | SAFR)</t>
  </si>
  <si>
    <t xml:space="preserve">1. AI Oversight &amp; Governance</t>
  </si>
  <si>
    <t>M1.1</t>
  </si>
  <si>
    <t xml:space="preserve">Board &amp; senior management accountability for AI risk (risk appetite, framework approval)</t>
  </si>
  <si>
    <t xml:space="preserve">AIRG Consultation Paper P017-2025 (Nov 2025, proposed); AI MRM Paper (Dec 2024)</t>
  </si>
  <si>
    <t xml:space="preserve">A.2.2; A.3.2</t>
  </si>
  <si>
    <t xml:space="preserve">GOVERN 1.1; GOVERN 2.3</t>
  </si>
  <si>
    <t xml:space="preserve">Board mandate; approved framework</t>
  </si>
  <si>
    <t xml:space="preserve">MGF D2.1 | SAFR S1.2</t>
  </si>
  <si>
    <t>M1.2</t>
  </si>
  <si>
    <t xml:space="preserve">AI policies &amp; guiding principles (fair, ethical, accountable, transparent use)</t>
  </si>
  <si>
    <t xml:space="preserve">FEAT (2018); AIRG Consultation Paper P017-2025 (Nov 2025, proposed)</t>
  </si>
  <si>
    <t xml:space="preserve">A.2.2; A.2.3; A.2.4</t>
  </si>
  <si>
    <t xml:space="preserve">GOVERN 1.2; GOVERN 1.4; GOVERN 4.1</t>
  </si>
  <si>
    <t xml:space="preserve">AI use policy</t>
  </si>
  <si>
    <t xml:space="preserve">carry the FEAT/fairness control mappings that feed those principles.</t>
  </si>
  <si>
    <t>M1.3</t>
  </si>
  <si>
    <t xml:space="preserve">Cross-functional AI oversight forum / AI risk committee</t>
  </si>
  <si>
    <t xml:space="preserve">AI MRM Paper (Dec 2024); AIRG Consultation Paper P017-2025 (Nov 2025, proposed)</t>
  </si>
  <si>
    <t xml:space="preserve">GOVERN 2.1; GOVERN 4.3</t>
  </si>
  <si>
    <t xml:space="preserve">Committee terms of reference; minutes</t>
  </si>
  <si>
    <t>M1.4</t>
  </si>
  <si>
    <t xml:space="preserve">AI risk appetite &amp; risk tolerance setting</t>
  </si>
  <si>
    <t xml:space="preserve">AIRG Consultation Paper P017-2025 (Nov 2025, proposed)</t>
  </si>
  <si>
    <t xml:space="preserve">GOVERN 1.3; MAP 1.5</t>
  </si>
  <si>
    <t xml:space="preserve">AI risk appetite statement</t>
  </si>
  <si>
    <t>M1.5</t>
  </si>
  <si>
    <t xml:space="preserve">AI literacy, culture &amp; training across the organisation</t>
  </si>
  <si>
    <t xml:space="preserve">A.3.3; A.4.6</t>
  </si>
  <si>
    <t xml:space="preserve">GOVERN 2.2; GOVERN 4.1</t>
  </si>
  <si>
    <t xml:space="preserve">Training plan &amp; records</t>
  </si>
  <si>
    <t xml:space="preserve">MGF D4.3, D4.4</t>
  </si>
  <si>
    <t xml:space="preserve">2. AI Risk Mgmt Systems &amp; Processes</t>
  </si>
  <si>
    <t>M2.1</t>
  </si>
  <si>
    <t xml:space="preserve">Consistent identification of where AI is used</t>
  </si>
  <si>
    <t xml:space="preserve">GOVERN 1.6; MAP 1.1</t>
  </si>
  <si>
    <t xml:space="preserve">AI identification procedure</t>
  </si>
  <si>
    <t>M2.2</t>
  </si>
  <si>
    <t xml:space="preserve">AI inventory — central register of models / use-cases / dependencies</t>
  </si>
  <si>
    <t xml:space="preserve">A.4.2; A.4.3; A.4.4; A.4.5</t>
  </si>
  <si>
    <t xml:space="preserve">AI inventory register</t>
  </si>
  <si>
    <t>M2.3</t>
  </si>
  <si>
    <t xml:space="preserve">Risk materiality assessment (impact, complexity, reliance; inherent &amp; residual)</t>
  </si>
  <si>
    <t xml:space="preserve">A.5.2; A.5.3; A.5.4; A.5.5</t>
  </si>
  <si>
    <t xml:space="preserve">MAP 2.2; MAP 3.2; MAP 5.1; MEASURE 1.1</t>
  </si>
  <si>
    <t xml:space="preserve">Risk materiality assessment record</t>
  </si>
  <si>
    <t xml:space="preserve">Play 1, 2, 8</t>
  </si>
  <si>
    <t xml:space="preserve">MGF D1.1, D1.2 | SAFR S1.5</t>
  </si>
  <si>
    <t>M2.4</t>
  </si>
  <si>
    <t xml:space="preserve">AI risk identification &amp; assessment across the lifecycle</t>
  </si>
  <si>
    <t xml:space="preserve">A.5.2; A.5.3</t>
  </si>
  <si>
    <t xml:space="preserve">MAP 4.1; MAP 5.1; MANAGE 1.1; MANAGE 1.2</t>
  </si>
  <si>
    <t xml:space="preserve">Lifecycle risk register</t>
  </si>
  <si>
    <t xml:space="preserve">3. AI Lifecycle Controls</t>
  </si>
  <si>
    <t>M3.1</t>
  </si>
  <si>
    <t xml:space="preserve">Data management, quality, representativeness &amp; provenance</t>
  </si>
  <si>
    <t xml:space="preserve">A.7.2; A.7.3; A.7.4; A.7.5; A.7.6</t>
  </si>
  <si>
    <t xml:space="preserve">MAP 2.3; MEASURE 2.1</t>
  </si>
  <si>
    <t xml:space="preserve">Data lineage &amp; quality records</t>
  </si>
  <si>
    <t>M3.2</t>
  </si>
  <si>
    <t xml:space="preserve">Fairness &amp; bias mitigation</t>
  </si>
  <si>
    <t xml:space="preserve">A.5.4; A.7.4</t>
  </si>
  <si>
    <t xml:space="preserve">Fairness assessment</t>
  </si>
  <si>
    <t>M3.3</t>
  </si>
  <si>
    <t xml:space="preserve">Transparency &amp; explainability of AI outputs</t>
  </si>
  <si>
    <t xml:space="preserve">A.6.2.7; A.8.2</t>
  </si>
  <si>
    <t xml:space="preserve">MAP 2.2; MEASURE 2.8; MEASURE 2.9</t>
  </si>
  <si>
    <t xml:space="preserve">Model Cards; explainability notes</t>
  </si>
  <si>
    <t xml:space="preserve">MGF D2.7, D4.1, D4.2 | SAFR S3.2</t>
  </si>
  <si>
    <t>M3.4</t>
  </si>
  <si>
    <t xml:space="preserve">Human oversight &amp; intervention</t>
  </si>
  <si>
    <t xml:space="preserve">A.9.2; A.9.3; A.9.4</t>
  </si>
  <si>
    <t xml:space="preserve">GOVERN 3.2; MAP 3.5</t>
  </si>
  <si>
    <t xml:space="preserve">Human oversight policy</t>
  </si>
  <si>
    <t xml:space="preserve">MGF D2.3, D2.4, D2.6 | SAFR S2.3</t>
  </si>
  <si>
    <t>M3.5</t>
  </si>
  <si>
    <t xml:space="preserve">Model &amp; feature selection</t>
  </si>
  <si>
    <t xml:space="preserve">A.4.4; A.6.2.2; A.6.2.3</t>
  </si>
  <si>
    <t xml:space="preserve">MAP 2.1; MAP 3.3</t>
  </si>
  <si>
    <t xml:space="preserve">Model selection rationale</t>
  </si>
  <si>
    <t xml:space="preserve">MGF D1.3, D1.4 | SAFR S4.1</t>
  </si>
  <si>
    <t>M3.6</t>
  </si>
  <si>
    <t xml:space="preserve">Evaluation, testing &amp; independent validation</t>
  </si>
  <si>
    <t xml:space="preserve">MEASURE 1.3; MEASURE 2.3; MEASURE 2.5</t>
  </si>
  <si>
    <t xml:space="preserve">Validation &amp; test reports</t>
  </si>
  <si>
    <t xml:space="preserve">MGF D4.5</t>
  </si>
  <si>
    <t>M3.7</t>
  </si>
  <si>
    <t xml:space="preserve">Technology &amp; cybersecurity controls</t>
  </si>
  <si>
    <t xml:space="preserve">A.4.5; A.6.2.3</t>
  </si>
  <si>
    <t xml:space="preserve">Security test results</t>
  </si>
  <si>
    <t xml:space="preserve">MGF D3.1, D3.2, D3.3, D3.7 | SAFR S1.3, S1.4, S4.2</t>
  </si>
  <si>
    <t>M3.8</t>
  </si>
  <si>
    <t xml:space="preserve">Reproducibility, auditability, logging &amp; audit trails</t>
  </si>
  <si>
    <t xml:space="preserve">AIRG Consultation Paper P017-2025 (Nov 2025, proposed); MindForge AI Risk Mgmt Toolkit (Mar 2026)</t>
  </si>
  <si>
    <t xml:space="preserve">A.4.4; A.6.2.8</t>
  </si>
  <si>
    <t xml:space="preserve">MEASURE 2.1; MANAGE 4.1</t>
  </si>
  <si>
    <t xml:space="preserve">Logging standards; audit trail</t>
  </si>
  <si>
    <t xml:space="preserve">MGF D3.6, D3.13 | SAFR S3.1, S3.2, S3.4</t>
  </si>
  <si>
    <t>M3.9</t>
  </si>
  <si>
    <t xml:space="preserve">Pre-deployment review &amp; approval (release criteria)</t>
  </si>
  <si>
    <t xml:space="preserve">MANAGE 1.1; MEASURE 2.3</t>
  </si>
  <si>
    <t xml:space="preserve">Release approval record</t>
  </si>
  <si>
    <t>M3.10</t>
  </si>
  <si>
    <t xml:space="preserve">Post-deployment monitoring (drift, dashboards, revalidation, backtesting)</t>
  </si>
  <si>
    <t xml:space="preserve">AI MRM Paper (Dec 2024); AIRG Consultation Paper P017-2025 (Nov 2025, proposed); MindForge AI Risk Mgmt Toolkit (Mar 2026)</t>
  </si>
  <si>
    <t xml:space="preserve">MEASURE 2.4; MEASURE 3.1; MANAGE 4.1</t>
  </si>
  <si>
    <t xml:space="preserve">Monitoring dashboards</t>
  </si>
  <si>
    <t xml:space="preserve">Play 5, 11</t>
  </si>
  <si>
    <t xml:space="preserve">MGF D3.11, D3.12, D3.14 | SAFR S2.5, S3.5</t>
  </si>
  <si>
    <t>M3.11</t>
  </si>
  <si>
    <t xml:space="preserve">Incident management &amp; escalation</t>
  </si>
  <si>
    <t xml:space="preserve">A.3.3; A.8.4</t>
  </si>
  <si>
    <t xml:space="preserve">GOVERN 4.3; MEASURE 3.3; MANAGE 4.3</t>
  </si>
  <si>
    <t xml:space="preserve">Incident playbook</t>
  </si>
  <si>
    <t xml:space="preserve">Regulatory notification trigger — FSM-N05 (Technology Risk Management, eff. 10 May 2024; supersedes Notices 644/127/PSN05): notify MAS ≤1 hour of discovering a “relevant incident” (severe/widespread operational or material customer-service impact); root-cause &amp; impact report ≤14 days; 4-hour RTO for critical systems. Confirm exact FSM notice reference for the licence type. (MAS Notice 655 Cyber Hygiene is separate.)</t>
  </si>
  <si>
    <t xml:space="preserve">MGF D3.15, D3.16 | SAFR S2.4, S3.5</t>
  </si>
  <si>
    <t>M3.12</t>
  </si>
  <si>
    <t xml:space="preserve">Change management</t>
  </si>
  <si>
    <t xml:space="preserve">A.6.2.2; A.6.2.6</t>
  </si>
  <si>
    <t xml:space="preserve">MANAGE 2.2; MANAGE 4.2</t>
  </si>
  <si>
    <t xml:space="preserve">Change records</t>
  </si>
  <si>
    <t>M3.13</t>
  </si>
  <si>
    <t xml:space="preserve">Decommissioning / safe phase-out</t>
  </si>
  <si>
    <t xml:space="preserve">GOVERN 1.7; MANAGE 2.4</t>
  </si>
  <si>
    <t xml:space="preserve">Decommissioning checklist</t>
  </si>
  <si>
    <t>M3.14</t>
  </si>
  <si>
    <t xml:space="preserve">Third-party / vendor AI risk management</t>
  </si>
  <si>
    <t xml:space="preserve">A.10.2; A.10.3; A.10.4</t>
  </si>
  <si>
    <t xml:space="preserve">GOVERN 6.1; GOVERN 6.2; MAP 4.1; MANAGE 3.1; MANAGE 3.2</t>
  </si>
  <si>
    <t xml:space="preserve">Vendor due diligence; contract clauses</t>
  </si>
  <si>
    <t xml:space="preserve">MGF D1.6, D3.9 | SAFR S4.4, S4.5</t>
  </si>
  <si>
    <t>M3.15</t>
  </si>
  <si>
    <t xml:space="preserve">Generative AI &amp; AI-agent risks (hallucination, autonomy, adversarial, concentration)</t>
  </si>
  <si>
    <t xml:space="preserve">A.5.5; A.6.2.6</t>
  </si>
  <si>
    <t xml:space="preserve">MAP 5.1; MEASURE 2.6; MEASURE 2.7; MANAGE 2.3</t>
  </si>
  <si>
    <t xml:space="preserve">GenAI/ agent risk assessment</t>
  </si>
  <si>
    <t xml:space="preserve">AGENTIC HINGE → MGF: all D1–D4 | SAFR: all S1–S4</t>
  </si>
  <si>
    <t xml:space="preserve">4. AI Capability &amp; Capacity</t>
  </si>
  <si>
    <t>M4.1</t>
  </si>
  <si>
    <t xml:space="preserve">Skills, training, resourcing &amp; competency</t>
  </si>
  <si>
    <t xml:space="preserve">AI Risk / HR</t>
  </si>
  <si>
    <t xml:space="preserve">Capability plan; training records</t>
  </si>
  <si>
    <t>M4.2</t>
  </si>
  <si>
    <t xml:space="preserve">Technology infrastructure &amp; tooling capacity</t>
  </si>
  <si>
    <t xml:space="preserve">A.4.4; A.4.5</t>
  </si>
  <si>
    <t xml:space="preserve">Infrastructure &amp; tooling plan</t>
  </si>
  <si>
    <t xml:space="preserve">Cross-cutting: FEAT Principles</t>
  </si>
  <si>
    <t>F1</t>
  </si>
  <si>
    <t xml:space="preserve">Fairness — AIDA decisions do not systematically disadvantage individuals/groups</t>
  </si>
  <si>
    <t xml:space="preserve">FEAT (2018)</t>
  </si>
  <si>
    <t>Compliance</t>
  </si>
  <si>
    <t xml:space="preserve">In progress</t>
  </si>
  <si>
    <t xml:space="preserve">Fairness Assessment Report (Veritas 3A); fairness-metric results vs thresholds</t>
  </si>
  <si>
    <t xml:space="preserve">Annual (high-materiality) + on drift / change</t>
  </si>
  <si>
    <t xml:space="preserve">Run per FEAT Assessment Methodology (Veritas-aligned) §A; high-materiality validated per §D. Triggered in Plays 2/3/4; re-tested in Plays 5/8.</t>
  </si>
  <si>
    <t xml:space="preserve">Play 2, 3, 4, 5, 8</t>
  </si>
  <si>
    <t>F2</t>
  </si>
  <si>
    <t xml:space="preserve">Ethics — AIDA use aligns with organisational ethical standards</t>
  </si>
  <si>
    <t xml:space="preserve">A.2.2; A.5.5</t>
  </si>
  <si>
    <t xml:space="preserve">GOVERN 1.2; GOVERN 4.1</t>
  </si>
  <si>
    <t xml:space="preserve">Ethics alignment attestation (Veritas 3B)</t>
  </si>
  <si>
    <t xml:space="preserve">Annual + on material change</t>
  </si>
  <si>
    <t xml:space="preserve">§B — org-level guiding principles set first; confirmed per use case at Play 2. Reflected in M1.2.</t>
  </si>
  <si>
    <t xml:space="preserve">Play 2, 4, 8</t>
  </si>
  <si>
    <t>F3</t>
  </si>
  <si>
    <t xml:space="preserve">Accountability — clear internal &amp; external accountability for AIDA-driven decisions</t>
  </si>
  <si>
    <t xml:space="preserve">A.3.2; A.10.2</t>
  </si>
  <si>
    <t xml:space="preserve">GOVERN 2.1; GOVERN 2.3</t>
  </si>
  <si>
    <t xml:space="preserve">Accountability matrix; internal authorisation record (Veritas 3B)</t>
  </si>
  <si>
    <t xml:space="preserve">Annual + on change</t>
  </si>
  <si>
    <t xml:space="preserve">§B — includes third-party model accountability (non-delegable). Anchored in M1.1, M1.3.</t>
  </si>
  <si>
    <t xml:space="preserve">MGF D1.5, D2.1 | SAFR S1.1, S3.3</t>
  </si>
  <si>
    <t>F4</t>
  </si>
  <si>
    <t xml:space="preserve">Transparency — disclosure &amp; explanation appropriate to each stakeholder</t>
  </si>
  <si>
    <t xml:space="preserve">A.8.2; A.8.5; A.6.2.7</t>
  </si>
  <si>
    <t xml:space="preserve">MEASURE 2.8; MEASURE 2.9</t>
  </si>
  <si>
    <t xml:space="preserve">Transparency assessment; model card; customer disclosure standard (Veritas 3C)</t>
  </si>
  <si>
    <t xml:space="preserve">§C — internal + external transparency proportionate to materiality. Triggered Plays 3/4; reviewed Play 8.</t>
  </si>
  <si>
    <t xml:space="preserve">MGF D2.7, D4.1 | SAFR S3.2</t>
  </si>
  <si>
    <t xml:space="preserve">Stress-Test Tracker — Hotspot Register (10 core + 4 SAFR runtime)</t>
  </si>
  <si>
    <t>#</t>
  </si>
  <si>
    <t>Hotspot</t>
  </si>
  <si>
    <t>Class</t>
  </si>
  <si>
    <t xml:space="preserve">Failure mode</t>
  </si>
  <si>
    <t xml:space="preserve">Recommended stress tests</t>
  </si>
  <si>
    <t xml:space="preserve">Maps to</t>
  </si>
  <si>
    <t>Cadence</t>
  </si>
  <si>
    <t xml:space="preserve">Last run</t>
  </si>
  <si>
    <t>Result</t>
  </si>
  <si>
    <t xml:space="preserve">Residual risk</t>
  </si>
  <si>
    <t xml:space="preserve">Next run</t>
  </si>
  <si>
    <t xml:space="preserve">Generative AI hallucination &amp; factual unreliability</t>
  </si>
  <si>
    <t xml:space="preserve">GenAI / Agent</t>
  </si>
  <si>
    <t xml:space="preserve">Model emits confident but fabricated or wrong outputs; in an FI context this means mis-stated facts, bad advice, or compliance breaches reaching customers or filings.</t>
  </si>
  <si>
    <t xml:space="preserve">Known-answer benchmarks; RAG grounding &amp; citation-faithfulness checks; out-of-distribution and ambiguous prompts; human-graded evals on edge cases; hallucination-rate thresholds.</t>
  </si>
  <si>
    <t xml:space="preserve">NIST MEASURE 2.5, 2.9  |  ISO A.6.2.4, A.6.2.6  |  MAS M3.6, M3.15</t>
  </si>
  <si>
    <t xml:space="preserve">Not run</t>
  </si>
  <si>
    <t xml:space="preserve">Prompt injection, jailbreak &amp; data exfiltration</t>
  </si>
  <si>
    <t xml:space="preserve">Crafted inputs override instructions, bypass guardrails, leak the system prompt or PII — including indirect injection via retrieved or third-party content.</t>
  </si>
  <si>
    <t xml:space="preserve">Red-team injection &amp; jailbreak corpora; indirect/second-order injection via documents and tool outputs; exfiltration canary tokens; guardrail bypass regression suite.</t>
  </si>
  <si>
    <t xml:space="preserve">NIST MEASURE 2.7  |  ISO A.6.2.3, A.6.2.6  |  MAS M3.7, M3.15</t>
  </si>
  <si>
    <t xml:space="preserve">Autonomous agent behaviour &amp; unintended actions</t>
  </si>
  <si>
    <t xml:space="preserve">Tool misuse, runaway loops, scope creep, or irreversible actions taken without a human gate; small errors compound across an action chain.</t>
  </si>
  <si>
    <t xml:space="preserve">Sandboxed scenario testing; adversarial multi-step task chains; action-space &amp; permission-boundary probes; kill-switch and rollback drills; concentration of authority tests.</t>
  </si>
  <si>
    <t xml:space="preserve">NIST MANAGE 2.3, 2.4  |  ISO A.9.4, A.6.2.6  |  MAS M3.4, M3.15</t>
  </si>
  <si>
    <t xml:space="preserve">Model drift &amp; performance degradation in production</t>
  </si>
  <si>
    <t xml:space="preserve">Classic ML</t>
  </si>
  <si>
    <t xml:space="preserve">Data or concept drift silently erodes accuracy; monitoring thresholds fail to trip or are mis-calibrated, so decay goes unnoticed.</t>
  </si>
  <si>
    <t xml:space="preserve">Backtesting on shifted time windows; synthetic distribution-shift injection; champion/challenger; validation that drift-alert thresholds actually fire; scheduled revalidation.</t>
  </si>
  <si>
    <t xml:space="preserve">NIST MEASURE 2.4, 3.1  |  ISO A.6.2.6  |  MAS M3.10</t>
  </si>
  <si>
    <t xml:space="preserve">Model Risk + Data Sci</t>
  </si>
  <si>
    <t xml:space="preserve">Fairness &amp; bias across subgroups</t>
  </si>
  <si>
    <t>Cross-cutting</t>
  </si>
  <si>
    <t xml:space="preserve">Disparate impact on protected or commercial segments; proxy discrimination through correlated features (e.g. postcode as a race proxy).</t>
  </si>
  <si>
    <t xml:space="preserve">Slice/subgroup performance; counterfactual fairness tests; proxy-variable analysis; disparate-impact ratio under stressed/underrepresented populations.</t>
  </si>
  <si>
    <t xml:space="preserve">NIST MEASURE 2.11  |  ISO A.5.4, A.7.4  |  MAS M3.2, FEAT F1</t>
  </si>
  <si>
    <t xml:space="preserve">AI Risk + InfoSec</t>
  </si>
  <si>
    <t>Semi-annual</t>
  </si>
  <si>
    <t xml:space="preserve">Data quality, lineage &amp; poisoning</t>
  </si>
  <si>
    <t xml:space="preserve">Corrupt, unrepresentative or maliciously poisoned data degrades or backdoors the model; broken lineage makes the cause untraceable.</t>
  </si>
  <si>
    <t xml:space="preserve">Data-poisoning &amp; label-noise injection; lineage-break detection; missing/corrupt feature injection; representativeness checks under stressed segments.</t>
  </si>
  <si>
    <t xml:space="preserve">NIST MAP 2.3, MEASURE 2.1  |  ISO A.7.4, A.7.5  |  MAS M3.1, M2.3</t>
  </si>
  <si>
    <t xml:space="preserve">Robustness to adversarial &amp; edge-case inputs</t>
  </si>
  <si>
    <t xml:space="preserve">Small perturbations or rare tail inputs flip outputs; the model is brittle exactly where stakes are high and data is thin.</t>
  </si>
  <si>
    <t xml:space="preserve">Adversarial perturbation attacks; boundary &amp; edge-case generation; extreme-value and tail-scenario inputs; input fuzzing; stress at operating-range limits.</t>
  </si>
  <si>
    <t xml:space="preserve">NIST MEASURE 2.6, 2.7  |  ISO A.6.2.4  |  MAS M3.6</t>
  </si>
  <si>
    <t xml:space="preserve">Third-party / foundation-model concentration &amp; dependency</t>
  </si>
  <si>
    <t xml:space="preserve">Vendor model version change, API outage, or silent behaviour shift breaks downstream systems; single-provider reliance creates concentration risk.</t>
  </si>
  <si>
    <t xml:space="preserve">Model-swap regression; version-pin drift tests; vendor outage/failover scenarios; behaviour-change detection on upgrades; concentration scenario analysis.</t>
  </si>
  <si>
    <t xml:space="preserve">NIST GOVERN 6.2, MANAGE 3.1, 3.2  |  ISO A.10.3  |  MAS M3.14, M3.15</t>
  </si>
  <si>
    <t xml:space="preserve">Human oversight failure &amp; automation bias</t>
  </si>
  <si>
    <t xml:space="preserve">Reviewers rubber-stamp AI outputs, override mechanisms go unused, and escalation paths break — oversight exists on paper but not in practice.</t>
  </si>
  <si>
    <t xml:space="preserve">Override-rate analysis; seeded-error detection (does the reviewer catch a planted wrong output?); escalation drills; oversight-effectiveness review.</t>
  </si>
  <si>
    <t xml:space="preserve">NIST GOVERN 3.2, MAP 3.5  |  ISO A.9.2, A.9.3  |  MAS M3.4</t>
  </si>
  <si>
    <t xml:space="preserve">Privacy: memorisation, re-identification &amp; inference</t>
  </si>
  <si>
    <t xml:space="preserve">Model memorises and regurgitates training PII, or outputs enable re-identification or membership inference of individuals in the training set.</t>
  </si>
  <si>
    <t xml:space="preserve">Membership-inference attacks; training-data extraction probes; PII-leakage prompt suites; re-identification testing on aggregated outputs.</t>
  </si>
  <si>
    <t xml:space="preserve">NIST MEASURE 2.10  |  ISO A.7.2  |  MAS M3.1</t>
  </si>
  <si>
    <t xml:space="preserve">Disposition-engine latency &amp; fail-open</t>
  </si>
  <si>
    <t xml:space="preserve">SAFR / Runtime</t>
  </si>
  <si>
    <t xml:space="preserve">The runtime checkpoint adds latency that pressures teams to bypass it, or it fails open (lets actions through) under load or outage — so the control plane becomes a bottleneck or a silent gap at the point of action.</t>
  </si>
  <si>
    <t xml:space="preserve">Load/latency injection at the disposition engine under peak volumes; fail-open vs. fail-closed behaviour testing on checkpoint outage; chaos/failover drills on the runtime control plane; timeout and queue-backpressure handling tests.</t>
  </si>
  <si>
    <t xml:space="preserve">SAFR S2.1, S2.6  |  NIST MANAGE 2.4, MEASURE 2.7  |  ISO A.6, A.4  |  MAS M3.4</t>
  </si>
  <si>
    <t xml:space="preserve">InfoSec + Technology</t>
  </si>
  <si>
    <t xml:space="preserve">Audit-log tamper-evidence &amp; completeness</t>
  </si>
  <si>
    <t xml:space="preserve">Governance records are incomplete, mutable or tamperable; gaps between executed actions and logged decisions break non-repudiation and leave actions unaccounted for at supervisory review.</t>
  </si>
  <si>
    <t xml:space="preserve">Tamper-attempt &amp; integrity-verification tests (append-only / hash-chain); log-completeness reconciliation vs. executed actions; timestamp / clock-manipulation tests; retention and retrievability drills for internal audit and MAS review.</t>
  </si>
  <si>
    <t xml:space="preserve">SAFR S3.1, S3.2, S3.4  |  NIST MEASURE 3.1, MANAGE 4.1  |  ISO A.9, A.8  |  MAS M3.15</t>
  </si>
  <si>
    <t xml:space="preserve">InfoSec + Internal Audit</t>
  </si>
  <si>
    <t xml:space="preserve">Mandate bypass &amp; stale controls-repository</t>
  </si>
  <si>
    <t xml:space="preserve">An agent executes actions outside its granted mandate, or the controls repository is stale / misconfigured so thresholds and policies are not enforced at runtime.</t>
  </si>
  <si>
    <t xml:space="preserve">Out-of-mandate action injection (does the pre-execution check block it?); threshold-boundary probes; stale / rolled-back policy-version tests; privilege-escalation and mandate scope-creep chains.</t>
  </si>
  <si>
    <t xml:space="preserve">SAFR S1.2, S1.3, S1.4  |  NIST MANAGE 2.3, GOVERN 1.3  |  ISO A.9, A.2  |  MAS M3.4</t>
  </si>
  <si>
    <t xml:space="preserve">Gateway coverage &amp; cross-system enforcement gaps</t>
  </si>
  <si>
    <t xml:space="preserve">Agent actions route around the gateway or native embedding, or enforcement is inconsistent across downstream systems — leaving unchecked execution paths, including for third-party agents.</t>
  </si>
  <si>
    <t xml:space="preserve">Coverage / attack-surface mapping for actions that evade interception; direct-API and side-channel path tests; cross-system consistency checks (same mandate enforced everywhere); third-party / vendor agent path coverage.</t>
  </si>
  <si>
    <t xml:space="preserve">SAFR S4.2, S4.4, S4.5  |  NIST MANAGE 2.3, 3.1  |  ISO A.9, A.10  |  MAS M3.14</t>
  </si>
  <si>
    <t xml:space="preserve">AI Governance — Maturity &amp; Readiness Dashboard</t>
  </si>
  <si>
    <t xml:space="preserve">Live roll-up of the control trackers. Update Status &amp; Maturity on each Control Library tab and these figures refresh automatically.</t>
  </si>
  <si>
    <t>Framework</t>
  </si>
  <si>
    <t xml:space="preserve"># Controls</t>
  </si>
  <si>
    <t>Implemented</t>
  </si>
  <si>
    <t xml:space="preserve">Operating effectively</t>
  </si>
  <si>
    <t>N/A</t>
  </si>
  <si>
    <t xml:space="preserve">Avg maturity</t>
  </si>
  <si>
    <t xml:space="preserve">% Implemented+</t>
  </si>
  <si>
    <t>MAS</t>
  </si>
  <si>
    <t xml:space="preserve">IMDA MGF Agentic</t>
  </si>
  <si>
    <t xml:space="preserve">SAFR (Runtime)</t>
  </si>
  <si>
    <t>TOTAL</t>
  </si>
  <si>
    <t xml:space="preserve">Status values</t>
  </si>
  <si>
    <t xml:space="preserve">Not started / In progress / Implemented / Operating effectively / Not applicable</t>
  </si>
  <si>
    <t xml:space="preserve">Maturity scale</t>
  </si>
  <si>
    <t xml:space="preserve">1 Initial  •  2 Developing  •  3 Defined  •  4 Managed  •  5 Optimised</t>
  </si>
  <si>
    <t xml:space="preserve">% Implemented+ = (Implemented + Operating effectively) / (controls excluding N/A)</t>
  </si>
  <si>
    <t xml:space="preserve">FEAT OPERATIONALISATION</t>
  </si>
  <si>
    <t xml:space="preserve">All four FEAT principles assessed, evidenced (Veritas) and triggered by the plays. Principles operationalised:</t>
  </si>
  <si>
    <t>Principle</t>
  </si>
  <si>
    <t xml:space="preserve">Status (live)</t>
  </si>
  <si>
    <t xml:space="preserve">Triggered in plays</t>
  </si>
  <si>
    <t xml:space="preserve">Evidence (Veritas)</t>
  </si>
  <si>
    <t xml:space="preserve">Review cadence</t>
  </si>
  <si>
    <t xml:space="preserve">Fairness (F1)</t>
  </si>
  <si>
    <t xml:space="preserve">2, 3, 4, 5, 8</t>
  </si>
  <si>
    <t xml:space="preserve">Doc 3A — Fairness Report</t>
  </si>
  <si>
    <t xml:space="preserve">Annual + drift</t>
  </si>
  <si>
    <t xml:space="preserve">Ethics (F2)</t>
  </si>
  <si>
    <t xml:space="preserve">2, 4, 8</t>
  </si>
  <si>
    <t xml:space="preserve">Doc 3B — Ethics attestation</t>
  </si>
  <si>
    <t>Annual</t>
  </si>
  <si>
    <t xml:space="preserve">Accountability (F3)</t>
  </si>
  <si>
    <t xml:space="preserve">Doc 3B — Accountability matrix</t>
  </si>
  <si>
    <t xml:space="preserve">Transparency (F4)</t>
  </si>
  <si>
    <t xml:space="preserve">Methodology: FEAT Assessment Methodology (Veritas-aligned) — §A Fairness, §B Ethics &amp; Accountability, §C Transparency, §D high-materiality validation.</t>
  </si>
  <si>
    <t xml:space="preserve">Control Library - IMDA MGF for Agentic AI — Control Tracker</t>
  </si>
  <si>
    <t>Dimension</t>
  </si>
  <si>
    <t xml:space="preserve">MGF Control ID</t>
  </si>
  <si>
    <t xml:space="preserve">Control / Recommended Measure</t>
  </si>
  <si>
    <t xml:space="preserve">Objective — what it bounds</t>
  </si>
  <si>
    <t xml:space="preserve">MAS AIRG theme</t>
  </si>
  <si>
    <t xml:space="preserve">ISO/IEC 42001 Annex A</t>
  </si>
  <si>
    <t xml:space="preserve">Weight (1-5)</t>
  </si>
  <si>
    <t xml:space="preserve">Weighted maturity</t>
  </si>
  <si>
    <t xml:space="preserve">Linked MAS | SAFR</t>
  </si>
  <si>
    <t xml:space="preserve">D1 Bound risk</t>
  </si>
  <si>
    <t>D1.1</t>
  </si>
  <si>
    <t xml:space="preserve">Use-case suitability assessment</t>
  </si>
  <si>
    <t xml:space="preserve">Stop agents being deployed in unsuitable / high-impact contexts</t>
  </si>
  <si>
    <t xml:space="preserve">AI Inventory &amp; Materiality</t>
  </si>
  <si>
    <t xml:space="preserve">A.5 Impact assessment</t>
  </si>
  <si>
    <t xml:space="preserve">MAP 1.1, 1.6</t>
  </si>
  <si>
    <t xml:space="preserve">AI Risk (2nd line) / Model Owner</t>
  </si>
  <si>
    <t xml:space="preserve">MAS M2.3 | SAFR S1.5</t>
  </si>
  <si>
    <t xml:space="preserve">D1.2  ★</t>
  </si>
  <si>
    <t xml:space="preserve">Tiered risk classification</t>
  </si>
  <si>
    <t xml:space="preserve">Right-size controls to the level of risk</t>
  </si>
  <si>
    <t xml:space="preserve">MAP 1.5, 2.2</t>
  </si>
  <si>
    <t xml:space="preserve">Play 1, 8</t>
  </si>
  <si>
    <t xml:space="preserve">MAS M2.3</t>
  </si>
  <si>
    <t>D1.3</t>
  </si>
  <si>
    <t xml:space="preserve">Define agent limits at design</t>
  </si>
  <si>
    <t xml:space="preserve">Cap the agent's blast radius before build</t>
  </si>
  <si>
    <t xml:space="preserve">Lifecycle: Development &amp; Validation</t>
  </si>
  <si>
    <t xml:space="preserve">MAP 2.1; MANAGE 1.3</t>
  </si>
  <si>
    <t xml:space="preserve">MAS M3.5 | SAFR S1.2</t>
  </si>
  <si>
    <t>D1.4</t>
  </si>
  <si>
    <t xml:space="preserve">Least-privilege access (scoping)</t>
  </si>
  <si>
    <t xml:space="preserve">Limit reachable systems and data</t>
  </si>
  <si>
    <t xml:space="preserve">MANAGE 2.3; MEASURE 2.7</t>
  </si>
  <si>
    <t xml:space="preserve">Model Developer / InfoSec</t>
  </si>
  <si>
    <t xml:space="preserve">MAS M3.5, M3.7 | SAFR S1.4</t>
  </si>
  <si>
    <t>D1.5</t>
  </si>
  <si>
    <t xml:space="preserve">Agent identity management (identity card + authorisation trail)</t>
  </si>
  <si>
    <t xml:space="preserve">Give every agent a verifiable identity — capabilities, limits, authorised action domains and escalation — plus a trail of which agent acted under whose authority, so every action is attributable.</t>
  </si>
  <si>
    <t xml:space="preserve">Oversight &amp; Accountability</t>
  </si>
  <si>
    <t xml:space="preserve">GOVERN 2.1; MAP 1.1; MEASURE 3.1</t>
  </si>
  <si>
    <t xml:space="preserve">Play 2, 7, 9</t>
  </si>
  <si>
    <t xml:space="preserve">MAS M3.8, F3 | SAFR S1.1, S3.3</t>
  </si>
  <si>
    <t xml:space="preserve">D1.6  ★</t>
  </si>
  <si>
    <t xml:space="preserve">Third-party / multi-agent dependency review</t>
  </si>
  <si>
    <t xml:space="preserve">Bound risk inherited from external / peer agents</t>
  </si>
  <si>
    <t xml:space="preserve">Third-Party &amp; Reliance Risk</t>
  </si>
  <si>
    <t xml:space="preserve">A.10 Third-party relationships</t>
  </si>
  <si>
    <t xml:space="preserve">GOVERN 6.1; MANAGE 3.1</t>
  </si>
  <si>
    <t xml:space="preserve">Play 1, 7</t>
  </si>
  <si>
    <t xml:space="preserve">MAS M3.14 | SAFR S4.4, S4.5</t>
  </si>
  <si>
    <t xml:space="preserve">D2 Human accountability</t>
  </si>
  <si>
    <t>D2.1</t>
  </si>
  <si>
    <t xml:space="preserve">Responsibility allocation across value chain</t>
  </si>
  <si>
    <t xml:space="preserve">Keep a named owner answerable for agent actions</t>
  </si>
  <si>
    <t xml:space="preserve">GOVERN 2.1, 2.3</t>
  </si>
  <si>
    <t xml:space="preserve">AI Risk Cttee / AI Risk (2nd line)</t>
  </si>
  <si>
    <t xml:space="preserve">Play 1, All</t>
  </si>
  <si>
    <t xml:space="preserve">MAS M1.1, F3 | SAFR S1.2</t>
  </si>
  <si>
    <t>D2.2</t>
  </si>
  <si>
    <t xml:space="preserve">Adaptive governance</t>
  </si>
  <si>
    <t xml:space="preserve">Keep governance current with capability change</t>
  </si>
  <si>
    <t xml:space="preserve">GOVERN 1.3, 4.3</t>
  </si>
  <si>
    <t>D2.3</t>
  </si>
  <si>
    <t xml:space="preserve">Human approval at significant checkpoints</t>
  </si>
  <si>
    <t xml:space="preserve">Hold the agent at the points that matter most</t>
  </si>
  <si>
    <t xml:space="preserve">GOVERN 4.1; MANAGE 2.3</t>
  </si>
  <si>
    <t xml:space="preserve">MAS M3.4 | SAFR S2.3</t>
  </si>
  <si>
    <t>D2.4</t>
  </si>
  <si>
    <t xml:space="preserve">Approval design</t>
  </si>
  <si>
    <t xml:space="preserve">Prevent oversight collapsing into rubber-stamping</t>
  </si>
  <si>
    <t xml:space="preserve">GOVERN 4.1; MEASURE 3.3</t>
  </si>
  <si>
    <t>D2.5</t>
  </si>
  <si>
    <t xml:space="preserve">Audit approval effectiveness</t>
  </si>
  <si>
    <t xml:space="preserve">Verify oversight is real, not nominal</t>
  </si>
  <si>
    <t xml:space="preserve">MEASURE 4.1; MANAGE 4.1</t>
  </si>
  <si>
    <t xml:space="preserve">MAS M3.4 | SAFR S3.5</t>
  </si>
  <si>
    <t xml:space="preserve">D2.6  ★</t>
  </si>
  <si>
    <t xml:space="preserve">Automation-bias countermeasures</t>
  </si>
  <si>
    <t xml:space="preserve">Detect decaying human attention early</t>
  </si>
  <si>
    <t xml:space="preserve">GOVERN 3.2; MEASURE 3.3</t>
  </si>
  <si>
    <t xml:space="preserve">MAS M3.4</t>
  </si>
  <si>
    <t>D2.7</t>
  </si>
  <si>
    <t xml:space="preserve">End-user accountability information</t>
  </si>
  <si>
    <t xml:space="preserve">Enable accountability to flow to users</t>
  </si>
  <si>
    <t xml:space="preserve">Transparency &amp; Communication</t>
  </si>
  <si>
    <t xml:space="preserve">A.8 Information to interested parties</t>
  </si>
  <si>
    <t xml:space="preserve">GOVERN 5.1; MAP 3.5</t>
  </si>
  <si>
    <t xml:space="preserve">MAS M3.3, F4 | SAFR S3.2</t>
  </si>
  <si>
    <t xml:space="preserve">D3 Technical controls</t>
  </si>
  <si>
    <t>D3.1</t>
  </si>
  <si>
    <t xml:space="preserve">Least-privilege tool/data access (technical)</t>
  </si>
  <si>
    <t xml:space="preserve">Constrain capability at runtime</t>
  </si>
  <si>
    <t xml:space="preserve">MAS M3.7 | SAFR S1.4</t>
  </si>
  <si>
    <t>D3.2</t>
  </si>
  <si>
    <t xml:space="preserve">Secure sandboxed environment</t>
  </si>
  <si>
    <t xml:space="preserve">Contain agents during build/test</t>
  </si>
  <si>
    <t xml:space="preserve">MAS M3.7 | SAFR S2.6</t>
  </si>
  <si>
    <t>D3.3</t>
  </si>
  <si>
    <t xml:space="preserve">Tool guardrails</t>
  </si>
  <si>
    <t xml:space="preserve">Prevent tool misuse or invented tool calls</t>
  </si>
  <si>
    <t xml:space="preserve">MANAGE 2.3, 2.4</t>
  </si>
  <si>
    <t xml:space="preserve">MAS M3.7 | SAFR S2.4</t>
  </si>
  <si>
    <t>D3.4</t>
  </si>
  <si>
    <t xml:space="preserve">Plan reflection</t>
  </si>
  <si>
    <t xml:space="preserve">Catch flawed plans before execution</t>
  </si>
  <si>
    <t xml:space="preserve">MEASURE 2.5; MANAGE 1.3</t>
  </si>
  <si>
    <t>D3.5</t>
  </si>
  <si>
    <t xml:space="preserve">Instruction comprehension check</t>
  </si>
  <si>
    <t xml:space="preserve">Reduce mis-scoped task execution</t>
  </si>
  <si>
    <t>D3.6</t>
  </si>
  <si>
    <t xml:space="preserve">Plan &amp; reasoning logging</t>
  </si>
  <si>
    <t xml:space="preserve">Make agent intent inspectable</t>
  </si>
  <si>
    <t xml:space="preserve">Lifecycle: Deployment &amp; Monitoring</t>
  </si>
  <si>
    <t xml:space="preserve">MEASURE 3.1; MAP 1.1</t>
  </si>
  <si>
    <t xml:space="preserve">Model Owner / AI Risk (2nd line)</t>
  </si>
  <si>
    <t xml:space="preserve">MAS M3.8 | SAFR S3.1</t>
  </si>
  <si>
    <t xml:space="preserve">D3.7  ★</t>
  </si>
  <si>
    <t xml:space="preserve">Structural / rule-based controls</t>
  </si>
  <si>
    <t xml:space="preserve">Use controls that can't be prompted away</t>
  </si>
  <si>
    <t>D3.8</t>
  </si>
  <si>
    <t xml:space="preserve">Agent-specific testing</t>
  </si>
  <si>
    <t xml:space="preserve">Validate the agent before release</t>
  </si>
  <si>
    <t xml:space="preserve">MEASURE 1.3, 2.3</t>
  </si>
  <si>
    <t xml:space="preserve">Independent Validation / InfoSec</t>
  </si>
  <si>
    <t xml:space="preserve">D3.9  ★</t>
  </si>
  <si>
    <t xml:space="preserve">Multi-agent / workflow evaluation</t>
  </si>
  <si>
    <t xml:space="preserve">Surface emergent multi-agent failure</t>
  </si>
  <si>
    <t xml:space="preserve">MEASURE 2.6; MANAGE 3.1</t>
  </si>
  <si>
    <t xml:space="preserve">MAS M3.14 | SAFR S4.4</t>
  </si>
  <si>
    <t>D3.10</t>
  </si>
  <si>
    <t xml:space="preserve">Gradual rollout</t>
  </si>
  <si>
    <t xml:space="preserve">Contain impact of unseen failures</t>
  </si>
  <si>
    <t xml:space="preserve">MANAGE 1.3, 2.4</t>
  </si>
  <si>
    <t>D3.11</t>
  </si>
  <si>
    <t xml:space="preserve">Continuous monitoring + real-time intervention</t>
  </si>
  <si>
    <t xml:space="preserve">Stop harm as it emerges</t>
  </si>
  <si>
    <t xml:space="preserve">MEASURE 2.4; MANAGE 4.1</t>
  </si>
  <si>
    <t xml:space="preserve">MAS M3.10 | SAFR S2.5</t>
  </si>
  <si>
    <t>D3.12</t>
  </si>
  <si>
    <t xml:space="preserve">Anomaly detection</t>
  </si>
  <si>
    <t xml:space="preserve">Flag deviation from expected behaviour</t>
  </si>
  <si>
    <t xml:space="preserve">MEASURE 2.4, 3.1</t>
  </si>
  <si>
    <t>D3.13</t>
  </si>
  <si>
    <t xml:space="preserve">Logging strategy</t>
  </si>
  <si>
    <t xml:space="preserve">Ensure the right evidence exists</t>
  </si>
  <si>
    <t xml:space="preserve">MEASURE 3.1; MANAGE 4.1</t>
  </si>
  <si>
    <t xml:space="preserve">MAS M3.8 | SAFR S3.1, S3.2</t>
  </si>
  <si>
    <t>D3.14</t>
  </si>
  <si>
    <t xml:space="preserve">Log monitoring &amp; alerting</t>
  </si>
  <si>
    <t xml:space="preserve">Turn logs into timely action</t>
  </si>
  <si>
    <t xml:space="preserve">MEASURE 3.3; MANAGE 4.1</t>
  </si>
  <si>
    <t xml:space="preserve">MAS M3.10 | SAFR S3.5</t>
  </si>
  <si>
    <t>D3.15</t>
  </si>
  <si>
    <t xml:space="preserve">Incident review &amp; periodic audit</t>
  </si>
  <si>
    <t xml:space="preserve">Assure ongoing fitness of the system</t>
  </si>
  <si>
    <t xml:space="preserve">MANAGE 4.1, 4.3</t>
  </si>
  <si>
    <t xml:space="preserve">Play 5, 6</t>
  </si>
  <si>
    <t xml:space="preserve">MAS M3.11 | SAFR S3.5</t>
  </si>
  <si>
    <t>D3.16</t>
  </si>
  <si>
    <t xml:space="preserve">Emergent-risk response mechanisms</t>
  </si>
  <si>
    <t xml:space="preserve">Be ready for the unforeseen</t>
  </si>
  <si>
    <t xml:space="preserve">MANAGE 4.1, 4.2</t>
  </si>
  <si>
    <t xml:space="preserve">MAS M3.11 | SAFR S2.6</t>
  </si>
  <si>
    <t xml:space="preserve">D4 End-user responsibility</t>
  </si>
  <si>
    <t>D4.1</t>
  </si>
  <si>
    <t xml:space="preserve">Transparency to interacting users</t>
  </si>
  <si>
    <t xml:space="preserve">Let users understand who/what they deal with</t>
  </si>
  <si>
    <t xml:space="preserve">Model Owner / Compliance</t>
  </si>
  <si>
    <t>D4.2</t>
  </si>
  <si>
    <t xml:space="preserve">Transparency to integrating users</t>
  </si>
  <si>
    <t xml:space="preserve">Inform those who build on the agent</t>
  </si>
  <si>
    <t xml:space="preserve">GOVERN 5.1; MAP 3.4</t>
  </si>
  <si>
    <t xml:space="preserve">MAS M3.3</t>
  </si>
  <si>
    <t>D4.3</t>
  </si>
  <si>
    <t xml:space="preserve">Oversight training</t>
  </si>
  <si>
    <t xml:space="preserve">Build competent human oversight</t>
  </si>
  <si>
    <t xml:space="preserve">Capabilities &amp; Competency</t>
  </si>
  <si>
    <t xml:space="preserve">A.4 Resources</t>
  </si>
  <si>
    <t xml:space="preserve">Model Owner / HR (capability)</t>
  </si>
  <si>
    <t xml:space="preserve">MAS M1.5, M4.1</t>
  </si>
  <si>
    <t xml:space="preserve">D4.4  ★</t>
  </si>
  <si>
    <t xml:space="preserve">Tradecraft preservation</t>
  </si>
  <si>
    <t xml:space="preserve">Keep humans able to take over</t>
  </si>
  <si>
    <t xml:space="preserve">GOVERN 2.2; MANAGE 4.1</t>
  </si>
  <si>
    <t xml:space="preserve">MAS M1.5</t>
  </si>
  <si>
    <t>D4.5</t>
  </si>
  <si>
    <t xml:space="preserve">End-user as auditor / red-teamer</t>
  </si>
  <si>
    <t xml:space="preserve">Add a human assurance layer</t>
  </si>
  <si>
    <t xml:space="preserve">MEASURE 1.1; MANAGE 4.3</t>
  </si>
  <si>
    <t xml:space="preserve">InfoSec / AI Risk</t>
  </si>
  <si>
    <t xml:space="preserve">Play 10, 11</t>
  </si>
  <si>
    <t xml:space="preserve">MAS M3.6</t>
  </si>
  <si>
    <t xml:space="preserve">★ = control emphasised in IMDA MGF for Agentic AI v1.0 (Jan 2026), updated 20 May 2026. Weight = criticality (seeded default, tune to risk appetite). Weighted maturity = Weight × Maturity.</t>
  </si>
  <si>
    <t xml:space="preserve">Control Library - SAFR (Safeguards for Agentic Finance at Runtime) — Control Tracker</t>
  </si>
  <si>
    <t xml:space="preserve">SAFR Control ID</t>
  </si>
  <si>
    <t xml:space="preserve">Control / recommended measure</t>
  </si>
  <si>
    <t xml:space="preserve">Linked stress test</t>
  </si>
  <si>
    <t xml:space="preserve">Linked MAS | MGF</t>
  </si>
  <si>
    <t xml:space="preserve">S1 Policy-bound execution</t>
  </si>
  <si>
    <t xml:space="preserve">S1.1  ★</t>
  </si>
  <si>
    <t xml:space="preserve">Agent identity &amp; registration</t>
  </si>
  <si>
    <t xml:space="preserve">Ensure every acting agent is uniquely identified and registered before it can transact</t>
  </si>
  <si>
    <t xml:space="preserve">A.3 Roles &amp; responsibilities; A.9 Use of AI systems</t>
  </si>
  <si>
    <t xml:space="preserve">GOVERN 2.1; MAP 1.1</t>
  </si>
  <si>
    <t xml:space="preserve">InfoSec / AI Risk (2nd line)</t>
  </si>
  <si>
    <t xml:space="preserve">Play 1, 11</t>
  </si>
  <si>
    <t xml:space="preserve">MAS F3 | MGF D1.5</t>
  </si>
  <si>
    <t xml:space="preserve">S1.2  ★</t>
  </si>
  <si>
    <t xml:space="preserve">Agent mandate definition</t>
  </si>
  <si>
    <t xml:space="preserve">Grant each agent an explicit, bounded authority — permitted actions, counterparties, value/exposure limits</t>
  </si>
  <si>
    <t xml:space="preserve">A.6 AI system life cycle; A.9</t>
  </si>
  <si>
    <t xml:space="preserve">GOVERN 1.3; MANAGE 1.3</t>
  </si>
  <si>
    <t xml:space="preserve">Play 3, 11</t>
  </si>
  <si>
    <t>ST-13</t>
  </si>
  <si>
    <t xml:space="preserve">MAS M2.3 | MGF D1.3, D2.1</t>
  </si>
  <si>
    <t xml:space="preserve">S1.3  ★</t>
  </si>
  <si>
    <t xml:space="preserve">Institutional controls repository</t>
  </si>
  <si>
    <t xml:space="preserve">Encode policies, rules and risk thresholds in a queryable repository the runtime checks against</t>
  </si>
  <si>
    <t xml:space="preserve">Governance &amp; Oversight</t>
  </si>
  <si>
    <t xml:space="preserve">A.2 AI policy; A.4 Resources</t>
  </si>
  <si>
    <t xml:space="preserve">GOVERN 1.1, 4.1</t>
  </si>
  <si>
    <t xml:space="preserve">MAS M3.7 | MGF D3.1</t>
  </si>
  <si>
    <t xml:space="preserve">S1.4  ★</t>
  </si>
  <si>
    <t xml:space="preserve">Pre-execution authority check</t>
  </si>
  <si>
    <t xml:space="preserve">Test every proposed action against the agent's mandate before it executes</t>
  </si>
  <si>
    <t xml:space="preserve">MANAGE 2.3; MEASURE 3.1</t>
  </si>
  <si>
    <t xml:space="preserve">InfoSec / Model Owner</t>
  </si>
  <si>
    <t xml:space="preserve">MAS M3.7 | MGF D1.4, D3.1, D3.7</t>
  </si>
  <si>
    <t>S1.5</t>
  </si>
  <si>
    <t xml:space="preserve">Risk-threshold binding</t>
  </si>
  <si>
    <t xml:space="preserve">Bind monetary, exposure and sensitivity thresholds to the pre-execution check</t>
  </si>
  <si>
    <t xml:space="preserve">MAP 2.3; MANAGE 1.3</t>
  </si>
  <si>
    <t xml:space="preserve">MAS M2.3 | MGF D1.1</t>
  </si>
  <si>
    <t xml:space="preserve">S2 Real-time validation</t>
  </si>
  <si>
    <t xml:space="preserve">S2.1  ★</t>
  </si>
  <si>
    <t xml:space="preserve">Disposition engine</t>
  </si>
  <si>
    <t xml:space="preserve">Evaluate each proposed action at runtime and assign a disposition before execution</t>
  </si>
  <si>
    <t xml:space="preserve">MEASURE 2.7; MANAGE 2.3</t>
  </si>
  <si>
    <t>ST-11</t>
  </si>
  <si>
    <t xml:space="preserve">MAS M3.4 | MGF D3.11</t>
  </si>
  <si>
    <t>S2.2</t>
  </si>
  <si>
    <t xml:space="preserve">Automated approval path</t>
  </si>
  <si>
    <t xml:space="preserve">Auto-execute actions that fall within mandate and thresholds</t>
  </si>
  <si>
    <t xml:space="preserve">Lifecycle: Deployment</t>
  </si>
  <si>
    <t xml:space="preserve">MAS M3.4 | MGF D2.3</t>
  </si>
  <si>
    <t xml:space="preserve">S2.3  ★</t>
  </si>
  <si>
    <t xml:space="preserve">Human-in-the-loop escalation</t>
  </si>
  <si>
    <t xml:space="preserve">Route out-of-bounds or ambiguous actions to a named human for review before execution</t>
  </si>
  <si>
    <t xml:space="preserve">Human Oversight</t>
  </si>
  <si>
    <t xml:space="preserve">A.9; A.8 Information for interested parties</t>
  </si>
  <si>
    <t xml:space="preserve">Model Owner / AI Risk Committee</t>
  </si>
  <si>
    <t xml:space="preserve">MAS M3.4 | MGF D2.3, D2.4</t>
  </si>
  <si>
    <t>S2.4</t>
  </si>
  <si>
    <t xml:space="preserve">Reject / block path</t>
  </si>
  <si>
    <t xml:space="preserve">Block actions outside mandate at the point of action</t>
  </si>
  <si>
    <t xml:space="preserve">MAS M3.11 | MGF D3.3</t>
  </si>
  <si>
    <t>S2.5</t>
  </si>
  <si>
    <t xml:space="preserve">Proceed-and-flag path</t>
  </si>
  <si>
    <t xml:space="preserve">Permit lower-risk actions to proceed while flagging them for monitoring</t>
  </si>
  <si>
    <t>Monitoring</t>
  </si>
  <si>
    <t xml:space="preserve">MAS M3.10 | MGF D3.11, D3.12</t>
  </si>
  <si>
    <t>S2.6</t>
  </si>
  <si>
    <t xml:space="preserve">Checkpoint resilience</t>
  </si>
  <si>
    <t xml:space="preserve">Ensure the runtime checkpoint is highly available and not itself a single point of failure</t>
  </si>
  <si>
    <t xml:space="preserve">Operational Resilience</t>
  </si>
  <si>
    <t xml:space="preserve">A.6; A.4 Resources</t>
  </si>
  <si>
    <t xml:space="preserve">MANAGE 2.4; MEASURE 2.7</t>
  </si>
  <si>
    <t xml:space="preserve">InfoSec / Technology</t>
  </si>
  <si>
    <t xml:space="preserve">MAS M3.10 | MGF D3.16</t>
  </si>
  <si>
    <t xml:space="preserve">S3 Auditability</t>
  </si>
  <si>
    <t xml:space="preserve">S3.1  ★</t>
  </si>
  <si>
    <t xml:space="preserve">Tamper-evident audit log</t>
  </si>
  <si>
    <t xml:space="preserve">Record each governance decision in an immutable, tamper-evident log</t>
  </si>
  <si>
    <t xml:space="preserve">Records &amp; Auditability</t>
  </si>
  <si>
    <t xml:space="preserve">A.9; A.4 Resources</t>
  </si>
  <si>
    <t xml:space="preserve">InfoSec / Internal Audit</t>
  </si>
  <si>
    <t>ST-12</t>
  </si>
  <si>
    <t xml:space="preserve">MAS M3.8 | MGF D3.6, D3.13</t>
  </si>
  <si>
    <t>S3.2</t>
  </si>
  <si>
    <t xml:space="preserve">Decision-record content</t>
  </si>
  <si>
    <t xml:space="preserve">Capture proposed action, rules applied, disposition, agent identity and timestamp per record</t>
  </si>
  <si>
    <t xml:space="preserve">Transparency (FEAT F4)</t>
  </si>
  <si>
    <t xml:space="preserve">A.8; A.9</t>
  </si>
  <si>
    <t xml:space="preserve">MAP 1.1; MEASURE 3.1</t>
  </si>
  <si>
    <t xml:space="preserve">InfoSec / Compliance</t>
  </si>
  <si>
    <t xml:space="preserve">MAS M3.3, F4 | MGF D2.7, D3.13</t>
  </si>
  <si>
    <t>S3.3</t>
  </si>
  <si>
    <t xml:space="preserve">Traceability to mandate &amp; policy version</t>
  </si>
  <si>
    <t xml:space="preserve">Link each record to the controls-repository / mandate version that governed the action</t>
  </si>
  <si>
    <t xml:space="preserve">Accountability (FEAT F3)</t>
  </si>
  <si>
    <t xml:space="preserve">A.6; A.2 AI policy</t>
  </si>
  <si>
    <t xml:space="preserve">GOVERN 1.3; MEASURE 3.1</t>
  </si>
  <si>
    <t xml:space="preserve">Play 8, 11</t>
  </si>
  <si>
    <t>S3.4</t>
  </si>
  <si>
    <t xml:space="preserve">Supervisory &amp; audit evidence</t>
  </si>
  <si>
    <t xml:space="preserve">Make logs retrievable for internal audit, compliance and MAS supervisory review</t>
  </si>
  <si>
    <t xml:space="preserve">GOVERN 1.1; MEASURE 3.1</t>
  </si>
  <si>
    <t xml:space="preserve">Compliance &amp; Legal / Internal Audit</t>
  </si>
  <si>
    <t xml:space="preserve">MAS M3.8 | MGF D3.13</t>
  </si>
  <si>
    <t>S3.5</t>
  </si>
  <si>
    <t xml:space="preserve">Review of flagged actions</t>
  </si>
  <si>
    <t xml:space="preserve">Ensure proceed-and-flag items are actually reviewed and dispositioned post-hoc</t>
  </si>
  <si>
    <t xml:space="preserve">MAS M3.10 | MGF D2.5, D3.14, D3.15</t>
  </si>
  <si>
    <t xml:space="preserve">S4 Interoperability</t>
  </si>
  <si>
    <t>S4.1</t>
  </si>
  <si>
    <t xml:space="preserve">Integration-model selection</t>
  </si>
  <si>
    <t xml:space="preserve">Document native-embedding vs. gateway-interception choice per agent / system</t>
  </si>
  <si>
    <t xml:space="preserve">MAP 1.1; MANAGE 2.4</t>
  </si>
  <si>
    <t xml:space="preserve">MAS M3.5</t>
  </si>
  <si>
    <t>S4.2</t>
  </si>
  <si>
    <t xml:space="preserve">Gateway interception of actions</t>
  </si>
  <si>
    <t xml:space="preserve">Provide an API-level chokepoint that intercepts outbound agent actions where native embedding isn't feasible</t>
  </si>
  <si>
    <t>ST-14</t>
  </si>
  <si>
    <t>S4.3</t>
  </si>
  <si>
    <t xml:space="preserve">Standard governance-record schema</t>
  </si>
  <si>
    <t xml:space="preserve">Adopt a portable, consistent record schema across agents and systems</t>
  </si>
  <si>
    <t xml:space="preserve">MAS M3.8</t>
  </si>
  <si>
    <t>S4.4</t>
  </si>
  <si>
    <t xml:space="preserve">Cross-system enforcement consistency</t>
  </si>
  <si>
    <t xml:space="preserve">Enforce the same mandate and policy regardless of the downstream system acted upon</t>
  </si>
  <si>
    <t xml:space="preserve">A.9; A.6</t>
  </si>
  <si>
    <t xml:space="preserve">GOVERN 1.3; MANAGE 2.3</t>
  </si>
  <si>
    <t xml:space="preserve">MAS M3.14 | MGF D1.6, D3.9</t>
  </si>
  <si>
    <t>S4.5</t>
  </si>
  <si>
    <t xml:space="preserve">Third-party / vendor agent coverage</t>
  </si>
  <si>
    <t xml:space="preserve">Subject externally-sourced agents to the same runtime checks and logging</t>
  </si>
  <si>
    <t xml:space="preserve">Third-Party Risk</t>
  </si>
  <si>
    <t xml:space="preserve">A.10 Third-party; A.9</t>
  </si>
  <si>
    <t xml:space="preserve">GOVERN 3.2; MANAGE 3.1</t>
  </si>
  <si>
    <t xml:space="preserve">AI Risk (2nd line) / Compliance</t>
  </si>
  <si>
    <t xml:space="preserve">Play 7, 11</t>
  </si>
  <si>
    <t xml:space="preserve">MAS M3.14 | MGF D1.6</t>
  </si>
  <si>
    <t xml:space="preserve">★ = load-bearing SAFR safeguard.  Weight = criticality (seeded default — tune to risk appetite).  Weighted maturity = Weight × Maturity.</t>
  </si>
  <si>
    <t xml:space="preserve">Basis: SAFR white paper (MAS / BuildFin.ai, 3 Jul 2026) — four safeguard principles (policy-bound execution, real-time validation, auditability, interoperability) and four components (agent identity, controls repository, disposition engine, audit log). Control IDs S1–S4 are this playbook's working derivations, not MAS-issued numbered controls. ISO / NIST / MAS mappings are section / function-level and should be reconciled against the primary PDF and your Control Library IDs before external use.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</si>
</sst>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5">
    <font>
      <sz val="11.000000"/>
      <color theme="1"/>
      <name val="Calibri"/>
    </font>
    <font>
      <sz val="10.000000"/>
      <name val="Arial"/>
    </font>
    <font>
      <b/>
      <sz val="18.000000"/>
      <color rgb="FF1F3A5F"/>
      <name val="Arial"/>
    </font>
    <font>
      <sz val="11.000000"/>
      <color rgb="FF595959"/>
      <name val="Arial"/>
    </font>
    <font>
      <b/>
      <sz val="10.000000"/>
      <color indexed="63"/>
      <name val="Arial"/>
    </font>
    <font>
      <b/>
      <sz val="12.000000"/>
      <color rgb="FF1F3A5F"/>
      <name val="Arial"/>
    </font>
    <font>
      <b/>
      <sz val="12.000000"/>
      <color rgb="FF1E2761"/>
      <name val="Arial"/>
    </font>
    <font>
      <sz val="10.000000"/>
      <color rgb="FF1E293B"/>
      <name val="Arial"/>
    </font>
    <font>
      <b/>
      <sz val="13.000000"/>
      <color rgb="FF1F3A5F"/>
      <name val="Arial"/>
    </font>
    <font>
      <b/>
      <sz val="10.000000"/>
      <color indexed="65"/>
      <name val="Arial"/>
    </font>
    <font>
      <b/>
      <sz val="10.000000"/>
      <name val="Arial"/>
    </font>
    <font>
      <i/>
      <sz val="9.000000"/>
      <color rgb="FF595959"/>
      <name val="Arial"/>
    </font>
    <font>
      <i/>
      <sz val="10.000000"/>
      <name val="Arial"/>
    </font>
    <font>
      <b/>
      <sz val="11.000000"/>
      <color rgb="FF1E2761"/>
      <name val="Calibri"/>
    </font>
    <font>
      <b/>
      <sz val="15.000000"/>
      <color rgb="FF1F3A5F"/>
      <name val="Arial"/>
    </font>
    <font>
      <i/>
      <sz val="10.000000"/>
      <color rgb="FF595959"/>
      <name val="Arial"/>
    </font>
    <font>
      <b/>
      <sz val="11.000000"/>
      <color rgb="FF1F3A5F"/>
      <name val="Arial"/>
    </font>
    <font>
      <b/>
      <sz val="11.000000"/>
      <color indexed="65"/>
      <name val="Calibri"/>
    </font>
    <font>
      <i/>
      <sz val="10.000000"/>
      <color rgb="FF64748B"/>
      <name val="Calibri"/>
    </font>
    <font>
      <b/>
      <sz val="10.000000"/>
      <color indexed="65"/>
      <name val="Calibri"/>
    </font>
    <font>
      <b/>
      <sz val="10.000000"/>
      <color rgb="FF1E293B"/>
      <name val="Calibri"/>
    </font>
    <font>
      <sz val="10.000000"/>
      <color rgb="FF1E293B"/>
      <name val="Calibri"/>
    </font>
    <font>
      <i/>
      <sz val="9.000000"/>
      <color rgb="FF64748B"/>
      <name val="Calibri"/>
    </font>
    <font>
      <b/>
      <sz val="13.000000"/>
      <color rgb="FF1E2761"/>
      <name val="Arial"/>
    </font>
    <font>
      <b/>
      <sz val="9.000000"/>
      <color rgb="FF1E293B"/>
      <name val="Arial"/>
    </font>
    <font>
      <b/>
      <sz val="9.000000"/>
      <color rgb="FF1E2761"/>
      <name val="Arial"/>
    </font>
    <font>
      <sz val="9.000000"/>
      <color rgb="FF1E293B"/>
      <name val="Arial"/>
    </font>
    <font>
      <i/>
      <sz val="8.000000"/>
      <color rgb="FF64748B"/>
      <name val="Arial"/>
    </font>
    <font>
      <b/>
      <sz val="13"/>
      <color rgb="FF1E2761"/>
      <name val="Arial"/>
    </font>
    <font>
      <b/>
      <sz val="10"/>
      <color rgb="FFFFFFFF"/>
      <name val="Arial"/>
    </font>
    <font>
      <b/>
      <sz val="9"/>
      <color rgb="FF1E293B"/>
      <name val="Arial"/>
    </font>
    <font>
      <sz val="9"/>
      <color rgb="FF1E293B"/>
      <name val="Arial"/>
    </font>
    <font>
      <b/>
      <sz val="9"/>
      <color rgb="FF1E2761"/>
      <name val="Arial"/>
    </font>
    <font>
      <i/>
      <sz val="9"/>
      <color rgb="FF5A6B7B"/>
      <name val="Arial"/>
    </font>
    <font>
      <i/>
      <sz val="8"/>
      <color rgb="FF5A6B7B"/>
      <name val="Arial"/>
    </font>
  </fonts>
  <fills count="28">
    <fill>
      <patternFill patternType="none"/>
    </fill>
    <fill>
      <patternFill patternType="gray125"/>
    </fill>
    <fill>
      <patternFill patternType="solid">
        <fgColor rgb="FF50603A"/>
        <bgColor rgb="FF4A6B3D"/>
      </patternFill>
    </fill>
    <fill>
      <patternFill patternType="solid">
        <fgColor indexed="65"/>
        <bgColor rgb="FFF4F7FA"/>
      </patternFill>
    </fill>
    <fill>
      <patternFill patternType="solid">
        <fgColor rgb="FFEEF1E8"/>
        <bgColor rgb="FFEAF0F4"/>
      </patternFill>
    </fill>
    <fill>
      <patternFill patternType="solid">
        <fgColor rgb="FF8A5A2B"/>
        <bgColor rgb="FF8C3A2E"/>
      </patternFill>
    </fill>
    <fill>
      <patternFill patternType="solid">
        <fgColor rgb="FFF3E9DC"/>
        <bgColor rgb="FFFCE8D5"/>
      </patternFill>
    </fill>
    <fill>
      <patternFill patternType="solid">
        <fgColor rgb="FFFBF6EF"/>
        <bgColor rgb="FFFBF1E6"/>
      </patternFill>
    </fill>
    <fill>
      <patternFill patternType="solid">
        <fgColor rgb="FFE3F1EC"/>
        <bgColor rgb="FFEAF0F4"/>
      </patternFill>
    </fill>
    <fill>
      <patternFill patternType="solid">
        <fgColor rgb="FFFFF3C4"/>
        <bgColor rgb="FFFCE8D5"/>
      </patternFill>
    </fill>
    <fill>
      <patternFill patternType="solid">
        <fgColor rgb="FF2E5E8C"/>
        <bgColor rgb="FF1E5F74"/>
      </patternFill>
    </fill>
    <fill>
      <patternFill patternType="solid">
        <fgColor rgb="FFF4F7FA"/>
        <bgColor rgb="FFFBF6EF"/>
      </patternFill>
    </fill>
    <fill>
      <patternFill patternType="solid">
        <fgColor rgb="FF4A6B3D"/>
        <bgColor rgb="FF50603A"/>
      </patternFill>
    </fill>
    <fill>
      <patternFill patternType="solid">
        <fgColor rgb="FF8C3A2E"/>
        <bgColor indexed="25"/>
      </patternFill>
    </fill>
    <fill>
      <patternFill patternType="solid">
        <fgColor rgb="FFB5651D"/>
        <bgColor rgb="FF8A5A2B"/>
      </patternFill>
    </fill>
    <fill>
      <patternFill patternType="solid">
        <fgColor rgb="FFFBF1E6"/>
        <bgColor rgb="FFFBF6EF"/>
      </patternFill>
    </fill>
    <fill>
      <patternFill patternType="solid">
        <fgColor rgb="FF2E4A5E"/>
        <bgColor rgb="FF1F3A5F"/>
      </patternFill>
    </fill>
    <fill>
      <patternFill patternType="solid">
        <fgColor rgb="FFEAF0F4"/>
        <bgColor rgb="FFEEF1E8"/>
      </patternFill>
    </fill>
    <fill>
      <patternFill patternType="solid">
        <fgColor rgb="FFDCE6F1"/>
        <bgColor rgb="FFD6E4F7"/>
      </patternFill>
    </fill>
    <fill>
      <patternFill patternType="solid">
        <fgColor rgb="FF1E2761"/>
        <bgColor rgb="FF1E293B"/>
      </patternFill>
    </fill>
    <fill>
      <patternFill patternType="solid">
        <fgColor rgb="FF5B6678"/>
        <bgColor rgb="FF64748B"/>
      </patternFill>
    </fill>
    <fill>
      <patternFill patternType="solid">
        <fgColor rgb="FFD6E4F7"/>
        <bgColor rgb="FFDCE6F1"/>
      </patternFill>
    </fill>
    <fill>
      <patternFill patternType="solid">
        <fgColor rgb="FFE3F0D9"/>
        <bgColor rgb="FFE3F1EC"/>
      </patternFill>
    </fill>
    <fill>
      <patternFill patternType="solid">
        <fgColor rgb="FFFCE8D5"/>
        <bgColor rgb="FFF3E9DC"/>
      </patternFill>
    </fill>
    <fill>
      <patternFill patternType="solid">
        <fgColor rgb="FFEAE0F2"/>
        <bgColor rgb="FFDCE6F1"/>
      </patternFill>
    </fill>
    <fill>
      <patternFill patternType="solid">
        <fgColor rgb="FF1E5F74"/>
        <bgColor rgb="FF2E5E8C"/>
      </patternFill>
    </fill>
    <fill>
      <patternFill patternType="solid">
        <fgColor rgb="FF1E2761"/>
        <bgColor indexed="64"/>
      </patternFill>
    </fill>
    <fill>
      <patternFill patternType="solid">
        <fgColor rgb="FFD6E4F7"/>
        <bgColor indexed="64"/>
      </patternFill>
    </fill>
  </fills>
  <borders count="6">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
      <left style="thin">
        <color rgb="FFC7CEDB"/>
      </left>
      <right style="none"/>
      <top style="thin">
        <color rgb="FFC7CEDB"/>
      </top>
      <bottom style="thin">
        <color rgb="FFC7CEDB"/>
      </bottom>
      <diagonal style="none"/>
    </border>
    <border>
      <left style="none"/>
      <right style="thin">
        <color rgb="FFC7CEDB"/>
      </right>
      <top style="thin">
        <color rgb="FFC7CEDB"/>
      </top>
      <bottom style="thin">
        <color rgb="FFC7CEDB"/>
      </bottom>
      <diagonal style="none"/>
    </border>
    <border>
      <left style="thin">
        <color rgb="FFC7CEDB"/>
      </left>
      <right style="thin">
        <color rgb="FFC7CEDB"/>
      </right>
      <top style="thin">
        <color rgb="FFC7CEDB"/>
      </top>
      <bottom style="thin">
        <color rgb="FFC7CEDB"/>
      </bottom>
      <diagonal style="none"/>
    </border>
    <border>
      <left style="thin">
        <color rgb="FFC9D6E8"/>
      </left>
      <right style="thin">
        <color rgb="FFC9D6E8"/>
      </right>
      <top style="thin">
        <color rgb="FFC9D6E8"/>
      </top>
      <bottom style="thin">
        <color rgb="FFC9D6E8"/>
      </bottom>
      <diagonal/>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84">
    <xf fontId="0" fillId="0" borderId="0" numFmtId="0" xfId="0" applyProtection="0">
      <protection hidden="0" locked="1"/>
    </xf>
    <xf fontId="0" fillId="0" borderId="0" numFmtId="0" xfId="0" applyProtection="1">
      <protection hidden="0" locked="1"/>
    </xf>
    <xf fontId="2" fillId="0" borderId="0" numFmtId="0" xfId="0" applyFont="1" applyProtection="1">
      <protection hidden="0" locked="1"/>
    </xf>
    <xf fontId="3" fillId="0" borderId="0" numFmtId="0" xfId="0" applyFont="1" applyProtection="1">
      <protection hidden="0" locked="1"/>
    </xf>
    <xf fontId="4" fillId="0" borderId="0" numFmtId="0" xfId="0" applyFont="1" applyAlignment="1" applyProtection="1">
      <alignment vertical="top" wrapText="1"/>
      <protection hidden="0" locked="1"/>
    </xf>
    <xf fontId="1" fillId="0" borderId="0" numFmtId="0" xfId="0" applyFont="1" applyAlignment="1" applyProtection="1">
      <alignment vertical="top" wrapText="1"/>
      <protection hidden="0" locked="1"/>
    </xf>
    <xf fontId="5" fillId="0" borderId="0" numFmtId="0" xfId="0" applyFont="1" applyProtection="1">
      <protection hidden="0" locked="1"/>
    </xf>
    <xf fontId="6" fillId="0" borderId="0" numFmtId="0" xfId="0" applyFont="1" applyProtection="1">
      <protection hidden="0" locked="1"/>
    </xf>
    <xf fontId="7" fillId="0" borderId="0" numFmtId="0" xfId="0" applyFont="1" applyAlignment="1" applyProtection="1">
      <alignment vertical="center" wrapText="1"/>
      <protection hidden="0" locked="1"/>
    </xf>
    <xf fontId="8" fillId="0" borderId="0" numFmtId="0" xfId="0" applyFont="1" applyProtection="1">
      <protection hidden="0" locked="1"/>
    </xf>
    <xf fontId="9" fillId="2" borderId="1" numFmtId="0" xfId="0" applyFont="1" applyFill="1" applyBorder="1" applyAlignment="1" applyProtection="1">
      <alignment horizontal="left" vertical="center" wrapText="1"/>
      <protection hidden="0" locked="1"/>
    </xf>
    <xf fontId="10" fillId="3" borderId="1" numFmtId="0" xfId="0" applyFont="1" applyFill="1" applyBorder="1" applyAlignment="1" applyProtection="1">
      <alignment horizontal="left" vertical="top" wrapText="1"/>
      <protection hidden="0" locked="1"/>
    </xf>
    <xf fontId="1" fillId="3" borderId="1" numFmtId="0" xfId="0" applyFont="1" applyFill="1" applyBorder="1" applyAlignment="1" applyProtection="1">
      <alignment horizontal="left" vertical="top" wrapText="1"/>
      <protection hidden="0" locked="1"/>
    </xf>
    <xf fontId="10" fillId="4" borderId="1" numFmtId="0" xfId="0" applyFont="1" applyFill="1" applyBorder="1" applyAlignment="1" applyProtection="1">
      <alignment horizontal="left" vertical="top" wrapText="1"/>
      <protection hidden="0" locked="1"/>
    </xf>
    <xf fontId="1" fillId="4" borderId="1" numFmtId="0" xfId="0" applyFont="1" applyFill="1" applyBorder="1" applyAlignment="1" applyProtection="1">
      <alignment horizontal="left" vertical="top" wrapText="1"/>
      <protection hidden="0" locked="1"/>
    </xf>
    <xf fontId="11" fillId="0" borderId="0" numFmtId="0" xfId="0" applyFont="1" applyAlignment="1" applyProtection="1">
      <alignment vertical="top" wrapText="1"/>
      <protection hidden="0" locked="1"/>
    </xf>
    <xf fontId="9" fillId="5" borderId="1" numFmtId="0" xfId="0" applyFont="1" applyFill="1" applyBorder="1" applyAlignment="1" applyProtection="1">
      <alignment horizontal="left" vertical="center" wrapText="1"/>
      <protection hidden="0" locked="1"/>
    </xf>
    <xf fontId="10" fillId="6" borderId="1" numFmtId="0" xfId="0" applyFont="1" applyFill="1" applyBorder="1" applyAlignment="1" applyProtection="1">
      <alignment horizontal="left" vertical="top" wrapText="1"/>
      <protection hidden="0" locked="1"/>
    </xf>
    <xf fontId="12" fillId="6" borderId="1" numFmtId="0" xfId="0" applyFont="1" applyFill="1" applyBorder="1" applyAlignment="1" applyProtection="1">
      <alignment horizontal="left" vertical="top" wrapText="1"/>
      <protection hidden="0" locked="1"/>
    </xf>
    <xf fontId="10" fillId="7" borderId="1" numFmtId="0" xfId="0" applyFont="1" applyFill="1" applyBorder="1" applyAlignment="1" applyProtection="1">
      <alignment horizontal="left" vertical="top" wrapText="1"/>
      <protection hidden="0" locked="1"/>
    </xf>
    <xf fontId="1" fillId="7" borderId="1" numFmtId="0" xfId="0" applyFont="1" applyFill="1" applyBorder="1" applyAlignment="1" applyProtection="1">
      <alignment horizontal="left" vertical="top" wrapText="1"/>
      <protection hidden="0" locked="1"/>
    </xf>
    <xf fontId="10" fillId="8" borderId="1" numFmtId="0" xfId="0" applyFont="1" applyFill="1" applyBorder="1" applyAlignment="1" applyProtection="1">
      <alignment horizontal="left" vertical="top" wrapText="1"/>
      <protection hidden="0" locked="1"/>
    </xf>
    <xf fontId="1" fillId="8" borderId="1" numFmtId="0" xfId="0" applyFont="1" applyFill="1" applyBorder="1" applyAlignment="1" applyProtection="1">
      <alignment horizontal="left" vertical="top" wrapText="1"/>
      <protection hidden="0" locked="1"/>
    </xf>
    <xf fontId="13" fillId="9" borderId="1" numFmtId="0" xfId="0" applyFont="1" applyFill="1" applyBorder="1" applyAlignment="1" applyProtection="1">
      <alignment horizontal="left" vertical="top" wrapText="1"/>
      <protection hidden="0" locked="1"/>
    </xf>
    <xf fontId="1" fillId="9" borderId="1" numFmtId="0" xfId="0" applyFont="1" applyFill="1" applyBorder="1" applyAlignment="1" applyProtection="1">
      <alignment horizontal="left" vertical="top" wrapText="1"/>
      <protection hidden="0" locked="1"/>
    </xf>
    <xf fontId="12" fillId="6" borderId="1" numFmtId="0" xfId="0" applyFont="1" applyFill="1" applyBorder="1" applyAlignment="1" applyProtection="1">
      <alignment vertical="top" wrapText="1"/>
      <protection hidden="0" locked="1"/>
    </xf>
    <xf fontId="1" fillId="0" borderId="0" numFmtId="0" xfId="0" applyFont="1" applyProtection="1">
      <protection hidden="0" locked="1"/>
    </xf>
    <xf fontId="9" fillId="10" borderId="1" numFmtId="0" xfId="0" applyFont="1" applyFill="1" applyBorder="1" applyAlignment="1" applyProtection="1">
      <alignment horizontal="left" vertical="center" wrapText="1"/>
      <protection hidden="0" locked="1"/>
    </xf>
    <xf fontId="1" fillId="3" borderId="1" numFmtId="0" xfId="0" applyFont="1" applyFill="1" applyBorder="1" applyAlignment="1" applyProtection="1">
      <alignment horizontal="center" vertical="top" wrapText="1"/>
      <protection hidden="0" locked="1"/>
    </xf>
    <xf fontId="1" fillId="11" borderId="1" numFmtId="0" xfId="0" applyFont="1" applyFill="1" applyBorder="1" applyAlignment="1" applyProtection="1">
      <alignment horizontal="left" vertical="top" wrapText="1"/>
      <protection hidden="0" locked="1"/>
    </xf>
    <xf fontId="10" fillId="11" borderId="1" numFmtId="0" xfId="0" applyFont="1" applyFill="1" applyBorder="1" applyAlignment="1" applyProtection="1">
      <alignment horizontal="left" vertical="top" wrapText="1"/>
      <protection hidden="0" locked="1"/>
    </xf>
    <xf fontId="1" fillId="11" borderId="1" numFmtId="0" xfId="0" applyFont="1" applyFill="1" applyBorder="1" applyAlignment="1" applyProtection="1">
      <alignment horizontal="center" vertical="top" wrapText="1"/>
      <protection hidden="0" locked="1"/>
    </xf>
    <xf fontId="9" fillId="12" borderId="1" numFmtId="0" xfId="0" applyFont="1" applyFill="1" applyBorder="1" applyAlignment="1" applyProtection="1">
      <alignment horizontal="left" vertical="center" wrapText="1"/>
      <protection hidden="0" locked="1"/>
    </xf>
    <xf fontId="9" fillId="13" borderId="1" numFmtId="0" xfId="0" applyFont="1" applyFill="1" applyBorder="1" applyAlignment="1" applyProtection="1">
      <alignment horizontal="left" vertical="center" wrapText="1"/>
      <protection hidden="0" locked="1"/>
    </xf>
    <xf fontId="9" fillId="14" borderId="1" numFmtId="0" xfId="0" applyFont="1" applyFill="1" applyBorder="1" applyAlignment="1" applyProtection="1">
      <alignment horizontal="left" vertical="center" wrapText="1"/>
      <protection hidden="0" locked="1"/>
    </xf>
    <xf fontId="10" fillId="3" borderId="1" numFmtId="0" xfId="0" applyFont="1" applyFill="1" applyBorder="1" applyAlignment="1" applyProtection="1">
      <alignment horizontal="center" vertical="top" wrapText="1"/>
      <protection hidden="0" locked="1"/>
    </xf>
    <xf fontId="10" fillId="15" borderId="1" numFmtId="0" xfId="0" applyFont="1" applyFill="1" applyBorder="1" applyAlignment="1" applyProtection="1">
      <alignment horizontal="center" vertical="top" wrapText="1"/>
      <protection hidden="0" locked="1"/>
    </xf>
    <xf fontId="10" fillId="15" borderId="1" numFmtId="0" xfId="0" applyFont="1" applyFill="1" applyBorder="1" applyAlignment="1" applyProtection="1">
      <alignment horizontal="left" vertical="top" wrapText="1"/>
      <protection hidden="0" locked="1"/>
    </xf>
    <xf fontId="1" fillId="15" borderId="1" numFmtId="0" xfId="0" applyFont="1" applyFill="1" applyBorder="1" applyAlignment="1" applyProtection="1">
      <alignment horizontal="center" vertical="top" wrapText="1"/>
      <protection hidden="0" locked="1"/>
    </xf>
    <xf fontId="1" fillId="15" borderId="1" numFmtId="0" xfId="0" applyFont="1" applyFill="1" applyBorder="1" applyAlignment="1" applyProtection="1">
      <alignment horizontal="left" vertical="top" wrapText="1"/>
      <protection hidden="0" locked="1"/>
    </xf>
    <xf fontId="14" fillId="0" borderId="0" numFmtId="0" xfId="0" applyFont="1" applyProtection="1">
      <protection hidden="0" locked="1"/>
    </xf>
    <xf fontId="15" fillId="0" borderId="0" numFmtId="0" xfId="0" applyFont="1" applyProtection="1">
      <protection hidden="0" locked="1"/>
    </xf>
    <xf fontId="9" fillId="16" borderId="1" numFmtId="0" xfId="0" applyFont="1" applyFill="1" applyBorder="1" applyAlignment="1" applyProtection="1">
      <alignment horizontal="left" vertical="center" wrapText="1"/>
      <protection hidden="0" locked="1"/>
    </xf>
    <xf fontId="1" fillId="3" borderId="1" numFmtId="9" xfId="0" applyNumberFormat="1" applyFont="1" applyFill="1" applyBorder="1" applyAlignment="1" applyProtection="1">
      <alignment horizontal="center" vertical="top" wrapText="1"/>
      <protection hidden="0" locked="1"/>
    </xf>
    <xf fontId="10" fillId="17" borderId="1" numFmtId="0" xfId="0" applyFont="1" applyFill="1" applyBorder="1" applyAlignment="1" applyProtection="1">
      <alignment horizontal="left" vertical="top" wrapText="1"/>
      <protection hidden="0" locked="1"/>
    </xf>
    <xf fontId="1" fillId="17" borderId="1" numFmtId="0" xfId="0" applyFont="1" applyFill="1" applyBorder="1" applyAlignment="1" applyProtection="1">
      <alignment horizontal="center" vertical="top" wrapText="1"/>
      <protection hidden="0" locked="1"/>
    </xf>
    <xf fontId="1" fillId="17" borderId="1" numFmtId="9" xfId="0" applyNumberFormat="1" applyFont="1" applyFill="1" applyBorder="1" applyAlignment="1" applyProtection="1">
      <alignment horizontal="center" vertical="top" wrapText="1"/>
      <protection hidden="0" locked="1"/>
    </xf>
    <xf fontId="10" fillId="18" borderId="1" numFmtId="0" xfId="0" applyFont="1" applyFill="1" applyBorder="1" applyAlignment="1" applyProtection="1">
      <alignment horizontal="left" vertical="top" wrapText="1"/>
      <protection hidden="0" locked="1"/>
    </xf>
    <xf fontId="10" fillId="18" borderId="1" numFmtId="0" xfId="0" applyFont="1" applyFill="1" applyBorder="1" applyAlignment="1" applyProtection="1">
      <alignment horizontal="center" vertical="top" wrapText="1"/>
      <protection hidden="0" locked="1"/>
    </xf>
    <xf fontId="10" fillId="18" borderId="1" numFmtId="9" xfId="0" applyNumberFormat="1" applyFont="1" applyFill="1" applyBorder="1" applyAlignment="1" applyProtection="1">
      <alignment horizontal="center" vertical="top" wrapText="1"/>
      <protection hidden="0" locked="1"/>
    </xf>
    <xf fontId="16" fillId="0" borderId="0" numFmtId="0" xfId="0" applyFont="1" applyProtection="1">
      <protection hidden="0" locked="1"/>
    </xf>
    <xf fontId="11" fillId="0" borderId="0" numFmtId="0" xfId="0" applyFont="1" applyProtection="1">
      <protection hidden="0" locked="1"/>
    </xf>
    <xf fontId="17" fillId="19" borderId="2" numFmtId="0" xfId="0" applyFont="1" applyFill="1" applyBorder="1" applyProtection="1">
      <protection hidden="0" locked="1"/>
    </xf>
    <xf fontId="0" fillId="0" borderId="3" numFmtId="0" xfId="0" applyBorder="1" applyProtection="1">
      <protection hidden="0" locked="1"/>
    </xf>
    <xf fontId="18" fillId="0" borderId="0" numFmtId="0" xfId="0" applyFont="1" applyProtection="1">
      <protection hidden="0" locked="1"/>
    </xf>
    <xf fontId="13" fillId="0" borderId="0" numFmtId="0" xfId="0" applyFont="1" applyAlignment="1" applyProtection="1">
      <alignment horizontal="center"/>
      <protection hidden="0" locked="1"/>
    </xf>
    <xf fontId="19" fillId="20" borderId="4" numFmtId="0" xfId="0" applyFont="1" applyFill="1" applyBorder="1" applyAlignment="1" applyProtection="1">
      <alignment vertical="center" wrapText="1"/>
      <protection hidden="0" locked="1"/>
    </xf>
    <xf fontId="20" fillId="8" borderId="4" numFmtId="0" xfId="0" applyFont="1" applyFill="1" applyBorder="1" applyProtection="1">
      <protection hidden="0" locked="1"/>
    </xf>
    <xf fontId="21" fillId="8" borderId="4" numFmtId="0" xfId="0" applyFont="1" applyFill="1" applyBorder="1" applyAlignment="1" applyProtection="1">
      <alignment horizontal="center"/>
      <protection hidden="0" locked="1"/>
    </xf>
    <xf fontId="21" fillId="8" borderId="4" numFmtId="0" xfId="0" applyFont="1" applyFill="1" applyBorder="1" applyProtection="1">
      <protection hidden="0" locked="1"/>
    </xf>
    <xf fontId="22" fillId="0" borderId="0" numFmtId="0" xfId="0" applyFont="1" applyProtection="1">
      <protection hidden="0" locked="1"/>
    </xf>
    <xf fontId="23" fillId="0" borderId="0" numFmtId="0" xfId="0" applyFont="1" applyProtection="1">
      <protection hidden="0" locked="1"/>
    </xf>
    <xf fontId="9" fillId="19" borderId="4" numFmtId="0" xfId="0" applyFont="1" applyFill="1" applyBorder="1" applyAlignment="1" applyProtection="1">
      <alignment horizontal="center" vertical="center" wrapText="1"/>
      <protection hidden="0" locked="1"/>
    </xf>
    <xf fontId="24" fillId="21" borderId="4" numFmtId="0" xfId="0" applyFont="1" applyFill="1" applyBorder="1" applyAlignment="1" applyProtection="1">
      <alignment vertical="top" wrapText="1"/>
      <protection hidden="0" locked="1"/>
    </xf>
    <xf fontId="25" fillId="0" borderId="4" numFmtId="0" xfId="0" applyFont="1" applyBorder="1" applyAlignment="1" applyProtection="1">
      <alignment horizontal="center" vertical="center" wrapText="1"/>
      <protection hidden="0" locked="1"/>
    </xf>
    <xf fontId="26" fillId="0" borderId="4" numFmtId="0" xfId="0" applyFont="1" applyBorder="1" applyAlignment="1" applyProtection="1">
      <alignment vertical="top" wrapText="1"/>
      <protection hidden="0" locked="1"/>
    </xf>
    <xf fontId="26" fillId="0" borderId="4" numFmtId="0" xfId="0" applyFont="1" applyBorder="1" applyAlignment="1" applyProtection="1">
      <alignment horizontal="center" vertical="center"/>
      <protection hidden="0" locked="1"/>
    </xf>
    <xf fontId="24" fillId="22" borderId="4" numFmtId="0" xfId="0" applyFont="1" applyFill="1" applyBorder="1" applyAlignment="1" applyProtection="1">
      <alignment vertical="top" wrapText="1"/>
      <protection hidden="0" locked="1"/>
    </xf>
    <xf fontId="24" fillId="23" borderId="4" numFmtId="0" xfId="0" applyFont="1" applyFill="1" applyBorder="1" applyAlignment="1" applyProtection="1">
      <alignment vertical="top" wrapText="1"/>
      <protection hidden="0" locked="1"/>
    </xf>
    <xf fontId="24" fillId="24" borderId="4" numFmtId="0" xfId="0" applyFont="1" applyFill="1" applyBorder="1" applyAlignment="1" applyProtection="1">
      <alignment vertical="top" wrapText="1"/>
      <protection hidden="0" locked="1"/>
    </xf>
    <xf fontId="27" fillId="0" borderId="0" numFmtId="0" xfId="0" applyFont="1" applyProtection="1">
      <protection hidden="0" locked="1"/>
    </xf>
    <xf fontId="9" fillId="25" borderId="4" numFmtId="0" xfId="0" applyFont="1" applyFill="1" applyBorder="1" applyAlignment="1" applyProtection="1">
      <alignment horizontal="center" vertical="center" wrapText="1"/>
      <protection hidden="0" locked="1"/>
    </xf>
    <xf fontId="25" fillId="0" borderId="4" numFmtId="0" xfId="0" applyFont="1" applyBorder="1" applyAlignment="1" applyProtection="1">
      <alignment horizontal="center" vertical="top" wrapText="1"/>
      <protection hidden="0" locked="1"/>
    </xf>
    <xf fontId="26" fillId="0" borderId="4" numFmtId="0" xfId="0" applyFont="1" applyBorder="1" applyAlignment="1" applyProtection="1">
      <alignment horizontal="center" vertical="top" wrapText="1"/>
      <protection hidden="0" locked="1"/>
    </xf>
    <xf fontId="27" fillId="0" borderId="0" numFmtId="0" xfId="0" applyFont="1" applyAlignment="1" applyProtection="1">
      <alignment vertical="top" wrapText="1"/>
      <protection hidden="0" locked="1"/>
    </xf>
    <xf numFmtId="0" fontId="28" fillId="0" borderId="0" xfId="0" applyFont="1" applyAlignment="1">
      <alignment horizontal="left" vertical="center"/>
    </xf>
    <xf numFmtId="0" fontId="29" fillId="26" borderId="5" xfId="0" applyFont="1" applyFill="1" applyBorder="1" applyAlignment="1">
      <alignment horizontal="center" vertical="center" wrapText="1"/>
    </xf>
    <xf numFmtId="0" fontId="30" fillId="27" borderId="5" xfId="0" applyFont="1" applyFill="1" applyBorder="1" applyAlignment="1">
      <alignment horizontal="left" vertical="top" wrapText="1"/>
    </xf>
    <xf numFmtId="0" fontId="31" fillId="0" borderId="5" xfId="0" applyFont="1" applyBorder="1" applyAlignment="1">
      <alignment horizontal="left" vertical="top" wrapText="1"/>
    </xf>
    <xf numFmtId="0" fontId="32" fillId="0" borderId="5" xfId="0" applyFont="1" applyBorder="1" applyAlignment="1">
      <alignment horizontal="left" vertical="top" wrapText="1"/>
    </xf>
    <xf numFmtId="0" fontId="32" fillId="0" borderId="5" xfId="0" applyFont="1" applyBorder="1" applyAlignment="1">
      <alignment horizontal="center" vertical="top" wrapText="1"/>
    </xf>
    <xf numFmtId="0" fontId="33" fillId="0" borderId="5" xfId="0" applyFont="1" applyBorder="1" applyAlignment="1">
      <alignment horizontal="center" vertical="top" wrapText="1"/>
    </xf>
    <xf numFmtId="0" fontId="31" fillId="0" borderId="5" xfId="0" applyFont="1" applyBorder="1" applyAlignment="1">
      <alignment horizontal="left" vertical="top" wrapText="1"/>
    </xf>
    <xf numFmtId="0" fontId="34" fillId="0" borderId="0" xfId="0" applyFont="1" applyAlignment="1">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haredStrings" Target="sharedStrings.xml"/><Relationship  Id="rId13"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4" Type="http://schemas.openxmlformats.org/officeDocument/2006/relationships/worksheet" Target="worksheets/sheet1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22" zoomScale="100" workbookViewId="0">
      <selection activeCell="A1" activeCellId="0" sqref="A1"/>
    </sheetView>
  </sheetViews>
  <sheetFormatPr defaultColWidth="8.6796875" defaultRowHeight="14.25"/>
  <cols>
    <col customWidth="1" min="1" max="1" style="1" width="2"/>
    <col customWidth="1" min="2" max="2" style="1" width="28"/>
    <col customWidth="1" min="3" max="3" style="1" width="95"/>
  </cols>
  <sheetData>
    <row r="2" ht="21.75" customHeight="1">
      <c r="B2" s="2" t="s">
        <v>0</v>
      </c>
    </row>
    <row r="3" ht="15" customHeight="1">
      <c r="B3" s="3" t="s">
        <v>1</v>
      </c>
    </row>
    <row r="5" ht="15" customHeight="1">
      <c r="B5" s="4"/>
      <c r="C5" s="5"/>
    </row>
    <row r="6" ht="15" customHeight="1">
      <c r="B6" s="6" t="s">
        <v>2</v>
      </c>
    </row>
    <row r="7" ht="25.5" customHeight="1">
      <c r="B7" s="4" t="s">
        <v>3</v>
      </c>
      <c r="C7" s="5" t="s">
        <v>4</v>
      </c>
    </row>
    <row r="8" ht="15" customHeight="1">
      <c r="B8" s="4"/>
      <c r="C8" s="5"/>
    </row>
    <row r="9" ht="15" customHeight="1">
      <c r="B9" s="6" t="s">
        <v>5</v>
      </c>
    </row>
    <row r="10" ht="25.5" customHeight="1">
      <c r="B10" s="4" t="s">
        <v>6</v>
      </c>
      <c r="C10" s="5" t="s">
        <v>7</v>
      </c>
    </row>
    <row r="11" ht="38.25" customHeight="1">
      <c r="B11" s="4" t="s">
        <v>8</v>
      </c>
      <c r="C11" s="5" t="s">
        <v>9</v>
      </c>
    </row>
    <row r="12" ht="25.5" customHeight="1">
      <c r="B12" s="4" t="s">
        <v>10</v>
      </c>
      <c r="C12" s="5" t="s">
        <v>11</v>
      </c>
    </row>
    <row r="13" ht="15" customHeight="1">
      <c r="B13" s="4" t="s">
        <v>12</v>
      </c>
      <c r="C13" s="5" t="s">
        <v>13</v>
      </c>
    </row>
    <row r="14" ht="15" customHeight="1">
      <c r="B14" s="4" t="s">
        <v>14</v>
      </c>
      <c r="C14" s="5" t="s">
        <v>15</v>
      </c>
    </row>
    <row r="15" ht="15" customHeight="1">
      <c r="B15" s="4"/>
      <c r="C15" s="5"/>
    </row>
    <row r="16" ht="15" customHeight="1">
      <c r="B16" s="6" t="s">
        <v>16</v>
      </c>
    </row>
    <row r="17" ht="15" customHeight="1">
      <c r="B17" s="4" t="s">
        <v>17</v>
      </c>
      <c r="C17" s="5" t="s">
        <v>18</v>
      </c>
    </row>
    <row r="18" ht="15" customHeight="1">
      <c r="B18" s="4" t="s">
        <v>19</v>
      </c>
      <c r="C18" s="5" t="s">
        <v>20</v>
      </c>
    </row>
    <row r="19" ht="15" customHeight="1">
      <c r="B19" s="4" t="s">
        <v>21</v>
      </c>
      <c r="C19" s="5" t="s">
        <v>22</v>
      </c>
    </row>
    <row r="20" ht="15" customHeight="1">
      <c r="B20" s="4" t="s">
        <v>23</v>
      </c>
      <c r="C20" s="5" t="s">
        <v>24</v>
      </c>
    </row>
    <row r="21" ht="15" customHeight="1">
      <c r="B21" s="4" t="s">
        <v>25</v>
      </c>
      <c r="C21" s="5" t="s">
        <v>26</v>
      </c>
    </row>
    <row r="22" ht="15" customHeight="1">
      <c r="B22" s="4"/>
      <c r="C22" s="5"/>
    </row>
    <row r="23" ht="15" customHeight="1">
      <c r="B23" s="6" t="s">
        <v>27</v>
      </c>
    </row>
    <row r="24" ht="25.5" customHeight="1">
      <c r="B24" s="4" t="s">
        <v>28</v>
      </c>
      <c r="C24" s="5" t="s">
        <v>29</v>
      </c>
    </row>
    <row r="25" ht="15" customHeight="1">
      <c r="B25" s="4" t="s">
        <v>30</v>
      </c>
      <c r="C25" s="5" t="s">
        <v>31</v>
      </c>
    </row>
    <row r="26" ht="38.25" customHeight="1">
      <c r="B26" s="4" t="s">
        <v>32</v>
      </c>
      <c r="C26" s="5" t="s">
        <v>33</v>
      </c>
    </row>
    <row r="28" ht="15" customHeight="1">
      <c r="A28" s="7" t="s">
        <v>34</v>
      </c>
      <c r="B28" s="6"/>
    </row>
    <row r="29" ht="43.5" customHeight="1">
      <c r="B29" s="4" t="s">
        <v>35</v>
      </c>
      <c r="C29" s="5" t="s">
        <v>36</v>
      </c>
    </row>
    <row r="30" ht="43.5" customHeight="1">
      <c r="B30" s="4" t="s">
        <v>37</v>
      </c>
      <c r="C30" s="5" t="s">
        <v>38</v>
      </c>
    </row>
    <row r="31" ht="14.25" customHeight="1">
      <c r="A31" s="7" t="s">
        <v>39</v>
      </c>
      <c r="B31" s="6"/>
    </row>
    <row r="32" ht="38.25">
      <c r="C32" s="5" t="s">
        <v>40</v>
      </c>
    </row>
    <row r="33" ht="14.25" customHeight="1">
      <c r="A33" s="7" t="s">
        <v>41</v>
      </c>
    </row>
    <row r="34" ht="14.25" customHeight="1">
      <c r="B34" s="4" t="s">
        <v>42</v>
      </c>
      <c r="C34" s="5" t="s">
        <v>43</v>
      </c>
      <c r="D34" s="5"/>
      <c r="E34" s="5"/>
      <c r="F34" s="5"/>
    </row>
    <row r="35" ht="25.5">
      <c r="B35" s="4" t="s">
        <v>44</v>
      </c>
      <c r="C35" s="5" t="s">
        <v>45</v>
      </c>
      <c r="D35" s="5"/>
      <c r="E35" s="5"/>
      <c r="F35" s="5"/>
    </row>
    <row r="36" ht="15" customHeight="1">
      <c r="C36" s="1"/>
      <c r="D36" s="1"/>
      <c r="E36" s="1"/>
      <c r="F36" s="1"/>
    </row>
    <row r="37" ht="15" customHeight="1">
      <c r="B37" s="7" t="s">
        <v>46</v>
      </c>
      <c r="C37" s="8" t="s">
        <v>47</v>
      </c>
    </row>
    <row r="38" ht="15" customHeight="1">
      <c r="B38" s="7" t="s">
        <v>48</v>
      </c>
      <c r="C38" s="8" t="s">
        <v>49</v>
      </c>
    </row>
    <row r="39" ht="15" customHeight="1">
      <c r="B39" s="7" t="s">
        <v>50</v>
      </c>
      <c r="C39" s="8" t="s">
        <v>51</v>
      </c>
    </row>
  </sheetData>
  <mergeCells count="3">
    <mergeCell ref="C34:F34"/>
    <mergeCell ref="C35:F35"/>
    <mergeCell ref="C36:F36"/>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pane ySplit="3" topLeftCell="A4" activePane="bottomLeft" state="frozen"/>
      <selection activeCell="A1" activeCellId="0" sqref="A1"/>
    </sheetView>
  </sheetViews>
  <sheetFormatPr defaultColWidth="8.6796875" defaultRowHeight="15"/>
  <cols>
    <col customWidth="1" min="1" max="1" style="1" width="20"/>
    <col customWidth="1" min="2" max="2" style="1" width="30"/>
    <col customWidth="1" min="3" max="3" style="1" width="70"/>
    <col customWidth="1" min="4" max="4" style="1" width="30"/>
  </cols>
  <sheetData>
    <row r="1" ht="15.75" customHeight="1">
      <c r="A1" s="9" t="s">
        <v>52</v>
      </c>
      <c r="B1" s="9"/>
      <c r="C1" s="9"/>
      <c r="D1" s="9"/>
    </row>
    <row r="3" ht="15" customHeight="1">
      <c r="A3" s="10" t="s">
        <v>53</v>
      </c>
      <c r="B3" s="10" t="s">
        <v>54</v>
      </c>
      <c r="C3" s="10" t="s">
        <v>55</v>
      </c>
      <c r="D3" s="10" t="s">
        <v>56</v>
      </c>
    </row>
    <row r="4" ht="54" customHeight="1">
      <c r="A4" s="11" t="s">
        <v>57</v>
      </c>
      <c r="B4" s="11" t="s">
        <v>58</v>
      </c>
      <c r="C4" s="12" t="s">
        <v>59</v>
      </c>
      <c r="D4" s="12" t="s">
        <v>60</v>
      </c>
    </row>
    <row r="5" ht="54" customHeight="1">
      <c r="A5" s="13" t="s">
        <v>61</v>
      </c>
      <c r="B5" s="13" t="s">
        <v>62</v>
      </c>
      <c r="C5" s="14" t="s">
        <v>63</v>
      </c>
      <c r="D5" s="14" t="s">
        <v>64</v>
      </c>
    </row>
    <row r="6" ht="54" customHeight="1">
      <c r="A6" s="11" t="s">
        <v>65</v>
      </c>
      <c r="B6" s="11" t="s">
        <v>66</v>
      </c>
      <c r="C6" s="12" t="s">
        <v>67</v>
      </c>
      <c r="D6" s="12" t="s">
        <v>68</v>
      </c>
    </row>
    <row r="7" ht="54" customHeight="1">
      <c r="A7" s="13" t="s">
        <v>65</v>
      </c>
      <c r="B7" s="13" t="s">
        <v>69</v>
      </c>
      <c r="C7" s="14" t="s">
        <v>70</v>
      </c>
      <c r="D7" s="14" t="s">
        <v>71</v>
      </c>
    </row>
    <row r="8" ht="54" customHeight="1">
      <c r="A8" s="11" t="s">
        <v>65</v>
      </c>
      <c r="B8" s="11" t="s">
        <v>72</v>
      </c>
      <c r="C8" s="12" t="s">
        <v>73</v>
      </c>
      <c r="D8" s="12" t="s">
        <v>74</v>
      </c>
    </row>
    <row r="9" ht="54" customHeight="1">
      <c r="A9" s="13" t="s">
        <v>75</v>
      </c>
      <c r="B9" s="13" t="s">
        <v>76</v>
      </c>
      <c r="C9" s="14" t="s">
        <v>77</v>
      </c>
      <c r="D9" s="14" t="s">
        <v>78</v>
      </c>
    </row>
    <row r="10" ht="54" customHeight="1">
      <c r="A10" s="11" t="s">
        <v>75</v>
      </c>
      <c r="B10" s="11" t="s">
        <v>79</v>
      </c>
      <c r="C10" s="12" t="s">
        <v>80</v>
      </c>
      <c r="D10" s="12" t="s">
        <v>81</v>
      </c>
    </row>
    <row r="11" ht="54" customHeight="1">
      <c r="A11" s="13" t="s">
        <v>75</v>
      </c>
      <c r="B11" s="13" t="s">
        <v>82</v>
      </c>
      <c r="C11" s="14" t="s">
        <v>83</v>
      </c>
      <c r="D11" s="14" t="s">
        <v>84</v>
      </c>
    </row>
    <row r="12" ht="54" customHeight="1">
      <c r="A12" s="11" t="s">
        <v>75</v>
      </c>
      <c r="B12" s="11" t="s">
        <v>85</v>
      </c>
      <c r="C12" s="12" t="s">
        <v>86</v>
      </c>
      <c r="D12" s="12" t="s">
        <v>87</v>
      </c>
    </row>
    <row r="13" ht="54" customHeight="1">
      <c r="A13" s="13" t="s">
        <v>75</v>
      </c>
      <c r="B13" s="13" t="s">
        <v>88</v>
      </c>
      <c r="C13" s="14" t="s">
        <v>89</v>
      </c>
      <c r="D13" s="14" t="s">
        <v>90</v>
      </c>
    </row>
    <row r="14" ht="54" customHeight="1">
      <c r="A14" s="11" t="s">
        <v>91</v>
      </c>
      <c r="B14" s="11" t="s">
        <v>92</v>
      </c>
      <c r="C14" s="12" t="s">
        <v>93</v>
      </c>
      <c r="D14" s="12" t="s">
        <v>94</v>
      </c>
    </row>
  </sheetData>
  <mergeCells count="1">
    <mergeCell ref="A1:D1"/>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pane ySplit="4" topLeftCell="A5" activePane="bottomLeft" state="frozen"/>
      <selection activeCell="A1" activeCellId="0" sqref="A1"/>
    </sheetView>
  </sheetViews>
  <sheetFormatPr defaultColWidth="8.6796875" defaultRowHeight="14.25"/>
  <cols>
    <col customWidth="1" min="1" max="1" style="1" width="20"/>
    <col customWidth="1" min="2" max="2" style="1" width="24"/>
    <col customWidth="1" min="3" max="3" style="1" width="58"/>
    <col customWidth="1" min="4" max="4" style="1" width="18"/>
    <col customWidth="1" min="5" max="5" style="1" width="26"/>
    <col customWidth="1" min="6" max="6" style="1" width="40"/>
  </cols>
  <sheetData>
    <row r="1" ht="15.75" customHeight="1">
      <c r="A1" s="9" t="s">
        <v>95</v>
      </c>
      <c r="B1" s="9"/>
      <c r="C1" s="9"/>
      <c r="D1" s="9"/>
      <c r="E1" s="9"/>
      <c r="F1" s="9"/>
    </row>
    <row r="2" ht="27.75" customHeight="1">
      <c r="A2" s="15" t="s">
        <v>96</v>
      </c>
      <c r="B2" s="15"/>
      <c r="C2" s="15"/>
      <c r="D2" s="15"/>
      <c r="E2" s="15"/>
      <c r="F2" s="15"/>
    </row>
    <row r="4" ht="15" customHeight="1">
      <c r="A4" s="16" t="s">
        <v>97</v>
      </c>
      <c r="B4" s="16" t="s">
        <v>98</v>
      </c>
      <c r="C4" s="16" t="s">
        <v>99</v>
      </c>
      <c r="D4" s="16" t="s">
        <v>100</v>
      </c>
      <c r="E4" s="16" t="s">
        <v>101</v>
      </c>
      <c r="F4" s="16" t="s">
        <v>102</v>
      </c>
    </row>
    <row r="5" ht="45.75" customHeight="1">
      <c r="A5" s="17" t="s">
        <v>103</v>
      </c>
      <c r="B5" s="18" t="s">
        <v>104</v>
      </c>
      <c r="C5" s="18"/>
      <c r="D5" s="18"/>
      <c r="E5" s="18"/>
      <c r="F5" s="17" t="s">
        <v>105</v>
      </c>
    </row>
    <row r="6" ht="42" customHeight="1">
      <c r="A6" s="19" t="s">
        <v>106</v>
      </c>
      <c r="B6" s="20" t="s">
        <v>66</v>
      </c>
      <c r="C6" s="20" t="s">
        <v>107</v>
      </c>
      <c r="D6" s="20" t="s">
        <v>21</v>
      </c>
      <c r="E6" s="20" t="s">
        <v>108</v>
      </c>
      <c r="F6" s="20"/>
    </row>
    <row r="7" ht="42" customHeight="1">
      <c r="A7" s="11" t="s">
        <v>109</v>
      </c>
      <c r="B7" s="12" t="s">
        <v>110</v>
      </c>
      <c r="C7" s="12" t="s">
        <v>111</v>
      </c>
      <c r="D7" s="12"/>
      <c r="E7" s="12" t="s">
        <v>112</v>
      </c>
      <c r="F7" s="12"/>
    </row>
    <row r="8" ht="42" customHeight="1">
      <c r="A8" s="19" t="s">
        <v>113</v>
      </c>
      <c r="B8" s="20" t="s">
        <v>110</v>
      </c>
      <c r="C8" s="20" t="s">
        <v>114</v>
      </c>
      <c r="D8" s="20"/>
      <c r="E8" s="20" t="s">
        <v>115</v>
      </c>
      <c r="F8" s="20"/>
    </row>
    <row r="9" ht="42" customHeight="1">
      <c r="A9" s="11" t="s">
        <v>116</v>
      </c>
      <c r="B9" s="12" t="s">
        <v>117</v>
      </c>
      <c r="C9" s="12" t="s">
        <v>118</v>
      </c>
      <c r="D9" s="12"/>
      <c r="E9" s="12" t="s">
        <v>119</v>
      </c>
      <c r="F9" s="12"/>
    </row>
    <row r="10" ht="45.75" customHeight="1">
      <c r="A10" s="17" t="s">
        <v>120</v>
      </c>
      <c r="B10" s="18" t="s">
        <v>121</v>
      </c>
      <c r="C10" s="18"/>
      <c r="D10" s="18"/>
      <c r="E10" s="18"/>
      <c r="F10" s="17" t="s">
        <v>122</v>
      </c>
    </row>
    <row r="11" ht="76.5" customHeight="1">
      <c r="A11" s="21" t="s">
        <v>106</v>
      </c>
      <c r="B11" s="22" t="s">
        <v>123</v>
      </c>
      <c r="C11" s="22" t="s">
        <v>124</v>
      </c>
      <c r="D11" s="22" t="s">
        <v>21</v>
      </c>
      <c r="E11" s="22" t="s">
        <v>125</v>
      </c>
      <c r="F11" s="22"/>
    </row>
    <row r="12" ht="42" customHeight="1">
      <c r="A12" s="11" t="s">
        <v>109</v>
      </c>
      <c r="B12" s="12" t="s">
        <v>126</v>
      </c>
      <c r="C12" s="12" t="s">
        <v>127</v>
      </c>
      <c r="D12" s="12"/>
      <c r="E12" s="12" t="s">
        <v>128</v>
      </c>
      <c r="F12" s="12"/>
    </row>
    <row r="13" ht="42" customHeight="1">
      <c r="A13" s="19" t="s">
        <v>113</v>
      </c>
      <c r="B13" s="20" t="s">
        <v>129</v>
      </c>
      <c r="C13" s="20" t="s">
        <v>130</v>
      </c>
      <c r="D13" s="20"/>
      <c r="E13" s="20" t="s">
        <v>131</v>
      </c>
      <c r="F13" s="20"/>
    </row>
    <row r="14" ht="42" customHeight="1">
      <c r="A14" s="11" t="s">
        <v>116</v>
      </c>
      <c r="B14" s="12" t="s">
        <v>132</v>
      </c>
      <c r="C14" s="12" t="s">
        <v>133</v>
      </c>
      <c r="D14" s="12"/>
      <c r="E14" s="12" t="s">
        <v>134</v>
      </c>
      <c r="F14" s="12"/>
    </row>
    <row r="15" ht="42" customHeight="1">
      <c r="A15" s="19" t="s">
        <v>135</v>
      </c>
      <c r="B15" s="20" t="s">
        <v>117</v>
      </c>
      <c r="C15" s="20" t="s">
        <v>136</v>
      </c>
      <c r="D15" s="20"/>
      <c r="E15" s="20" t="s">
        <v>137</v>
      </c>
      <c r="F15" s="20"/>
    </row>
    <row r="16" ht="45.75" customHeight="1">
      <c r="A16" s="17" t="s">
        <v>138</v>
      </c>
      <c r="B16" s="18" t="s">
        <v>139</v>
      </c>
      <c r="C16" s="18"/>
      <c r="D16" s="18"/>
      <c r="E16" s="18"/>
      <c r="F16" s="17" t="s">
        <v>140</v>
      </c>
    </row>
    <row r="17" ht="42" customHeight="1">
      <c r="A17" s="19" t="s">
        <v>106</v>
      </c>
      <c r="B17" s="20" t="s">
        <v>141</v>
      </c>
      <c r="C17" s="20" t="s">
        <v>142</v>
      </c>
      <c r="D17" s="20" t="s">
        <v>21</v>
      </c>
      <c r="E17" s="20" t="s">
        <v>143</v>
      </c>
      <c r="F17" s="20"/>
    </row>
    <row r="18" ht="42" customHeight="1">
      <c r="A18" s="11" t="s">
        <v>109</v>
      </c>
      <c r="B18" s="12" t="s">
        <v>144</v>
      </c>
      <c r="C18" s="12" t="s">
        <v>145</v>
      </c>
      <c r="D18" s="12"/>
      <c r="E18" s="12" t="s">
        <v>146</v>
      </c>
      <c r="F18" s="12"/>
    </row>
    <row r="19" ht="42" customHeight="1">
      <c r="A19" s="19" t="s">
        <v>113</v>
      </c>
      <c r="B19" s="20" t="s">
        <v>144</v>
      </c>
      <c r="C19" s="20" t="s">
        <v>147</v>
      </c>
      <c r="D19" s="20"/>
      <c r="E19" s="20" t="s">
        <v>148</v>
      </c>
      <c r="F19" s="20"/>
    </row>
    <row r="20" ht="42" customHeight="1">
      <c r="A20" s="11" t="s">
        <v>116</v>
      </c>
      <c r="B20" s="12" t="s">
        <v>79</v>
      </c>
      <c r="C20" s="12" t="s">
        <v>149</v>
      </c>
      <c r="D20" s="12"/>
      <c r="E20" s="12" t="s">
        <v>150</v>
      </c>
      <c r="F20" s="12"/>
    </row>
    <row r="21" ht="51" customHeight="1">
      <c r="A21" s="17" t="s">
        <v>151</v>
      </c>
      <c r="B21" s="18" t="s">
        <v>152</v>
      </c>
      <c r="C21" s="18"/>
      <c r="D21" s="18"/>
      <c r="E21" s="18"/>
      <c r="F21" s="17" t="s">
        <v>153</v>
      </c>
    </row>
    <row r="22" ht="51" customHeight="1">
      <c r="A22" s="21" t="s">
        <v>106</v>
      </c>
      <c r="B22" s="22" t="s">
        <v>129</v>
      </c>
      <c r="C22" s="22" t="s">
        <v>154</v>
      </c>
      <c r="D22" s="22" t="s">
        <v>21</v>
      </c>
      <c r="E22" s="22" t="s">
        <v>155</v>
      </c>
      <c r="F22" s="22"/>
    </row>
    <row r="23" ht="42" customHeight="1">
      <c r="A23" s="11" t="s">
        <v>109</v>
      </c>
      <c r="B23" s="12" t="s">
        <v>156</v>
      </c>
      <c r="C23" s="12" t="s">
        <v>157</v>
      </c>
      <c r="D23" s="12"/>
      <c r="E23" s="12" t="s">
        <v>158</v>
      </c>
      <c r="F23" s="12"/>
    </row>
    <row r="24" ht="42" customHeight="1">
      <c r="A24" s="19" t="s">
        <v>113</v>
      </c>
      <c r="B24" s="20" t="s">
        <v>159</v>
      </c>
      <c r="C24" s="20" t="s">
        <v>160</v>
      </c>
      <c r="D24" s="20"/>
      <c r="E24" s="20" t="s">
        <v>161</v>
      </c>
      <c r="F24" s="20"/>
    </row>
    <row r="25" ht="45.75" customHeight="1">
      <c r="A25" s="17" t="s">
        <v>162</v>
      </c>
      <c r="B25" s="18" t="s">
        <v>163</v>
      </c>
      <c r="C25" s="18"/>
      <c r="D25" s="18"/>
      <c r="E25" s="18"/>
      <c r="F25" s="17" t="s">
        <v>164</v>
      </c>
    </row>
    <row r="26" ht="42" customHeight="1">
      <c r="A26" s="19" t="s">
        <v>106</v>
      </c>
      <c r="B26" s="20" t="s">
        <v>129</v>
      </c>
      <c r="C26" s="20" t="s">
        <v>165</v>
      </c>
      <c r="D26" s="20" t="s">
        <v>166</v>
      </c>
      <c r="E26" s="20" t="s">
        <v>167</v>
      </c>
      <c r="F26" s="20"/>
    </row>
    <row r="27" ht="42" customHeight="1">
      <c r="A27" s="11" t="s">
        <v>109</v>
      </c>
      <c r="B27" s="12" t="s">
        <v>132</v>
      </c>
      <c r="C27" s="12" t="s">
        <v>168</v>
      </c>
      <c r="D27" s="12"/>
      <c r="E27" s="12" t="s">
        <v>169</v>
      </c>
      <c r="F27" s="12"/>
    </row>
    <row r="28" ht="42" customHeight="1">
      <c r="A28" s="19" t="s">
        <v>113</v>
      </c>
      <c r="B28" s="20" t="s">
        <v>117</v>
      </c>
      <c r="C28" s="20" t="s">
        <v>170</v>
      </c>
      <c r="D28" s="20"/>
      <c r="E28" s="20" t="s">
        <v>171</v>
      </c>
      <c r="F28" s="20"/>
    </row>
    <row r="29" ht="45.75" customHeight="1">
      <c r="A29" s="17" t="s">
        <v>172</v>
      </c>
      <c r="B29" s="18" t="s">
        <v>173</v>
      </c>
      <c r="C29" s="18"/>
      <c r="D29" s="18"/>
      <c r="E29" s="18"/>
      <c r="F29" s="17" t="s">
        <v>174</v>
      </c>
    </row>
    <row r="30" ht="42" customHeight="1">
      <c r="A30" s="19" t="s">
        <v>106</v>
      </c>
      <c r="B30" s="20" t="s">
        <v>175</v>
      </c>
      <c r="C30" s="20" t="s">
        <v>176</v>
      </c>
      <c r="D30" s="20" t="s">
        <v>21</v>
      </c>
      <c r="E30" s="20" t="s">
        <v>177</v>
      </c>
      <c r="F30" s="20"/>
    </row>
    <row r="31" ht="42" customHeight="1">
      <c r="A31" s="11" t="s">
        <v>109</v>
      </c>
      <c r="B31" s="12" t="s">
        <v>178</v>
      </c>
      <c r="C31" s="12" t="s">
        <v>179</v>
      </c>
      <c r="D31" s="12"/>
      <c r="E31" s="12" t="s">
        <v>180</v>
      </c>
      <c r="F31" s="12"/>
    </row>
    <row r="32" ht="42" customHeight="1">
      <c r="A32" s="19" t="s">
        <v>113</v>
      </c>
      <c r="B32" s="20" t="s">
        <v>156</v>
      </c>
      <c r="C32" s="20" t="s">
        <v>181</v>
      </c>
      <c r="D32" s="20"/>
      <c r="E32" s="20" t="s">
        <v>182</v>
      </c>
      <c r="F32" s="20"/>
    </row>
    <row r="33" ht="63.75" customHeight="1">
      <c r="A33" s="23" t="s">
        <v>116</v>
      </c>
      <c r="B33" s="24" t="s">
        <v>82</v>
      </c>
      <c r="C33" s="24" t="s">
        <v>183</v>
      </c>
      <c r="D33" s="24"/>
      <c r="E33" s="24" t="s">
        <v>184</v>
      </c>
      <c r="F33" s="24"/>
    </row>
    <row r="34" ht="42" customHeight="1">
      <c r="A34" s="19" t="s">
        <v>135</v>
      </c>
      <c r="B34" s="20" t="s">
        <v>185</v>
      </c>
      <c r="C34" s="20" t="s">
        <v>186</v>
      </c>
      <c r="D34" s="20"/>
      <c r="E34" s="20" t="s">
        <v>187</v>
      </c>
      <c r="F34" s="20"/>
    </row>
    <row r="35" ht="42" customHeight="1">
      <c r="A35" s="11" t="s">
        <v>188</v>
      </c>
      <c r="B35" s="12" t="s">
        <v>117</v>
      </c>
      <c r="C35" s="12" t="s">
        <v>189</v>
      </c>
      <c r="D35" s="12"/>
      <c r="E35" s="12" t="s">
        <v>190</v>
      </c>
      <c r="F35" s="12"/>
    </row>
    <row r="36" ht="45.75" customHeight="1">
      <c r="A36" s="17" t="s">
        <v>191</v>
      </c>
      <c r="B36" s="18" t="s">
        <v>192</v>
      </c>
      <c r="C36" s="18"/>
      <c r="D36" s="18"/>
      <c r="E36" s="18"/>
      <c r="F36" s="17" t="s">
        <v>193</v>
      </c>
    </row>
    <row r="37" ht="42" customHeight="1">
      <c r="A37" s="19" t="s">
        <v>106</v>
      </c>
      <c r="B37" s="20" t="s">
        <v>156</v>
      </c>
      <c r="C37" s="20" t="s">
        <v>194</v>
      </c>
      <c r="D37" s="20" t="s">
        <v>21</v>
      </c>
      <c r="E37" s="20" t="s">
        <v>195</v>
      </c>
      <c r="F37" s="20"/>
    </row>
    <row r="38" ht="42" customHeight="1">
      <c r="A38" s="11" t="s">
        <v>109</v>
      </c>
      <c r="B38" s="12" t="s">
        <v>82</v>
      </c>
      <c r="C38" s="12" t="s">
        <v>196</v>
      </c>
      <c r="D38" s="12"/>
      <c r="E38" s="12" t="s">
        <v>197</v>
      </c>
      <c r="F38" s="12"/>
    </row>
    <row r="39" ht="42" customHeight="1">
      <c r="A39" s="19" t="s">
        <v>113</v>
      </c>
      <c r="B39" s="20" t="s">
        <v>132</v>
      </c>
      <c r="C39" s="20" t="s">
        <v>198</v>
      </c>
      <c r="D39" s="20"/>
      <c r="E39" s="20" t="s">
        <v>199</v>
      </c>
      <c r="F39" s="20"/>
    </row>
    <row r="40" ht="42" customHeight="1">
      <c r="A40" s="11" t="s">
        <v>116</v>
      </c>
      <c r="B40" s="12" t="s">
        <v>129</v>
      </c>
      <c r="C40" s="12" t="s">
        <v>200</v>
      </c>
      <c r="D40" s="12"/>
      <c r="E40" s="12" t="s">
        <v>201</v>
      </c>
      <c r="F40" s="12"/>
    </row>
    <row r="41" ht="45.75" customHeight="1">
      <c r="A41" s="17" t="s">
        <v>202</v>
      </c>
      <c r="B41" s="18" t="s">
        <v>203</v>
      </c>
      <c r="C41" s="18"/>
      <c r="D41" s="18"/>
      <c r="E41" s="18"/>
      <c r="F41" s="17" t="s">
        <v>204</v>
      </c>
    </row>
    <row r="42" ht="42" customHeight="1">
      <c r="A42" s="19" t="s">
        <v>106</v>
      </c>
      <c r="B42" s="20" t="s">
        <v>132</v>
      </c>
      <c r="C42" s="20" t="s">
        <v>205</v>
      </c>
      <c r="D42" s="20" t="s">
        <v>206</v>
      </c>
      <c r="E42" s="20" t="s">
        <v>207</v>
      </c>
      <c r="F42" s="20"/>
    </row>
    <row r="43" ht="42" customHeight="1">
      <c r="A43" s="21" t="s">
        <v>109</v>
      </c>
      <c r="B43" s="22" t="s">
        <v>79</v>
      </c>
      <c r="C43" s="22" t="s">
        <v>208</v>
      </c>
      <c r="D43" s="22"/>
      <c r="E43" s="22" t="s">
        <v>209</v>
      </c>
      <c r="F43" s="22"/>
    </row>
    <row r="44" ht="42" customHeight="1">
      <c r="A44" s="19" t="s">
        <v>113</v>
      </c>
      <c r="B44" s="20" t="s">
        <v>129</v>
      </c>
      <c r="C44" s="20" t="s">
        <v>210</v>
      </c>
      <c r="D44" s="20"/>
      <c r="E44" s="20" t="s">
        <v>211</v>
      </c>
      <c r="F44" s="20"/>
    </row>
    <row r="45" ht="42" customHeight="1">
      <c r="A45" s="11" t="s">
        <v>116</v>
      </c>
      <c r="B45" s="12" t="s">
        <v>117</v>
      </c>
      <c r="C45" s="12" t="s">
        <v>212</v>
      </c>
      <c r="D45" s="12"/>
      <c r="E45" s="12" t="s">
        <v>213</v>
      </c>
      <c r="F45" s="12"/>
    </row>
    <row r="46" ht="45.75" customHeight="1">
      <c r="A46" s="17" t="s">
        <v>214</v>
      </c>
      <c r="B46" s="18" t="s">
        <v>215</v>
      </c>
      <c r="C46" s="18"/>
      <c r="D46" s="18"/>
      <c r="E46" s="18"/>
      <c r="F46" s="17" t="s">
        <v>216</v>
      </c>
    </row>
    <row r="47" ht="42" customHeight="1">
      <c r="A47" s="19" t="s">
        <v>106</v>
      </c>
      <c r="B47" s="20" t="s">
        <v>129</v>
      </c>
      <c r="C47" s="20" t="s">
        <v>217</v>
      </c>
      <c r="D47" s="20" t="s">
        <v>21</v>
      </c>
      <c r="E47" s="20" t="s">
        <v>218</v>
      </c>
      <c r="F47" s="20"/>
    </row>
    <row r="48" ht="42" customHeight="1">
      <c r="A48" s="11" t="s">
        <v>109</v>
      </c>
      <c r="B48" s="12" t="s">
        <v>219</v>
      </c>
      <c r="C48" s="12" t="s">
        <v>220</v>
      </c>
      <c r="D48" s="12"/>
      <c r="E48" s="12" t="s">
        <v>221</v>
      </c>
      <c r="F48" s="12"/>
    </row>
    <row r="49" ht="42" customHeight="1">
      <c r="A49" s="19" t="s">
        <v>113</v>
      </c>
      <c r="B49" s="20" t="s">
        <v>222</v>
      </c>
      <c r="C49" s="20" t="s">
        <v>223</v>
      </c>
      <c r="D49" s="20"/>
      <c r="E49" s="20" t="s">
        <v>224</v>
      </c>
      <c r="F49" s="20"/>
    </row>
    <row r="50" ht="42" customHeight="1">
      <c r="A50" s="11" t="s">
        <v>116</v>
      </c>
      <c r="B50" s="12" t="s">
        <v>132</v>
      </c>
      <c r="C50" s="12" t="s">
        <v>225</v>
      </c>
      <c r="D50" s="12"/>
      <c r="E50" s="12" t="s">
        <v>226</v>
      </c>
      <c r="F50" s="12"/>
    </row>
    <row r="51" ht="45.75" customHeight="1">
      <c r="A51" s="17" t="s">
        <v>227</v>
      </c>
      <c r="B51" s="18" t="s">
        <v>228</v>
      </c>
      <c r="C51" s="18"/>
      <c r="D51" s="18"/>
      <c r="E51" s="18"/>
      <c r="F51" s="17" t="s">
        <v>229</v>
      </c>
    </row>
    <row r="52" ht="42" customHeight="1">
      <c r="A52" s="19" t="s">
        <v>106</v>
      </c>
      <c r="B52" s="20" t="s">
        <v>132</v>
      </c>
      <c r="C52" s="20" t="s">
        <v>230</v>
      </c>
      <c r="D52" s="20" t="s">
        <v>231</v>
      </c>
      <c r="E52" s="20" t="s">
        <v>232</v>
      </c>
      <c r="F52" s="20"/>
    </row>
    <row r="53" ht="42" customHeight="1">
      <c r="A53" s="11" t="s">
        <v>109</v>
      </c>
      <c r="B53" s="12" t="s">
        <v>222</v>
      </c>
      <c r="C53" s="12" t="s">
        <v>233</v>
      </c>
      <c r="D53" s="12"/>
      <c r="E53" s="12" t="s">
        <v>234</v>
      </c>
      <c r="F53" s="12"/>
    </row>
    <row r="54" ht="42" customHeight="1">
      <c r="A54" s="19" t="s">
        <v>113</v>
      </c>
      <c r="B54" s="20" t="s">
        <v>235</v>
      </c>
      <c r="C54" s="20" t="s">
        <v>236</v>
      </c>
      <c r="D54" s="20"/>
      <c r="E54" s="20" t="s">
        <v>237</v>
      </c>
      <c r="F54" s="20"/>
    </row>
    <row r="55" ht="42" customHeight="1">
      <c r="A55" s="11" t="s">
        <v>116</v>
      </c>
      <c r="B55" s="12" t="s">
        <v>132</v>
      </c>
      <c r="C55" s="12" t="s">
        <v>238</v>
      </c>
      <c r="D55" s="12"/>
      <c r="E55" s="12" t="s">
        <v>239</v>
      </c>
      <c r="F55" s="12"/>
    </row>
    <row r="56" ht="42" customHeight="1">
      <c r="A56" s="19" t="s">
        <v>135</v>
      </c>
      <c r="B56" s="20" t="s">
        <v>117</v>
      </c>
      <c r="C56" s="20" t="s">
        <v>240</v>
      </c>
      <c r="D56" s="20"/>
      <c r="E56" s="20" t="s">
        <v>241</v>
      </c>
      <c r="F56" s="20"/>
    </row>
    <row r="57" ht="38.25" customHeight="1">
      <c r="A57" s="17" t="s">
        <v>242</v>
      </c>
      <c r="B57" s="25" t="s">
        <v>243</v>
      </c>
      <c r="C57" s="25"/>
      <c r="D57" s="25"/>
      <c r="E57" s="25"/>
      <c r="F57" s="17" t="s">
        <v>244</v>
      </c>
    </row>
    <row r="58" ht="25.5" customHeight="1">
      <c r="A58" s="19" t="s">
        <v>106</v>
      </c>
      <c r="B58" s="20" t="s">
        <v>245</v>
      </c>
      <c r="C58" s="20" t="s">
        <v>246</v>
      </c>
      <c r="D58" s="20" t="s">
        <v>247</v>
      </c>
      <c r="E58" s="20" t="s">
        <v>248</v>
      </c>
      <c r="F58" s="20"/>
    </row>
    <row r="59" ht="25.5" customHeight="1">
      <c r="A59" s="19" t="s">
        <v>109</v>
      </c>
      <c r="B59" s="20" t="s">
        <v>249</v>
      </c>
      <c r="C59" s="20" t="s">
        <v>250</v>
      </c>
      <c r="D59" s="20" t="s">
        <v>251</v>
      </c>
      <c r="E59" s="20" t="s">
        <v>252</v>
      </c>
      <c r="F59" s="20"/>
    </row>
    <row r="60" ht="25.5" customHeight="1">
      <c r="A60" s="19" t="s">
        <v>113</v>
      </c>
      <c r="B60" s="20" t="s">
        <v>110</v>
      </c>
      <c r="C60" s="20" t="s">
        <v>253</v>
      </c>
      <c r="D60" s="20" t="s">
        <v>254</v>
      </c>
      <c r="E60" s="20" t="s">
        <v>255</v>
      </c>
      <c r="F60" s="20"/>
    </row>
    <row r="61" ht="25.5" customHeight="1">
      <c r="A61" s="19" t="s">
        <v>116</v>
      </c>
      <c r="B61" s="20" t="s">
        <v>256</v>
      </c>
      <c r="C61" s="20" t="s">
        <v>257</v>
      </c>
      <c r="D61" s="20" t="s">
        <v>23</v>
      </c>
      <c r="E61" s="20" t="s">
        <v>258</v>
      </c>
      <c r="F61" s="20"/>
    </row>
    <row r="62" ht="25.5" customHeight="1">
      <c r="A62" s="19" t="s">
        <v>135</v>
      </c>
      <c r="B62" s="20" t="s">
        <v>117</v>
      </c>
      <c r="C62" s="20" t="s">
        <v>259</v>
      </c>
      <c r="D62" s="20" t="s">
        <v>23</v>
      </c>
      <c r="E62" s="20" t="s">
        <v>171</v>
      </c>
      <c r="F62" s="20"/>
    </row>
    <row r="65" ht="14.25" customHeight="1">
      <c r="A65" s="5" t="s">
        <v>260</v>
      </c>
    </row>
    <row r="66" ht="14.25" customHeight="1">
      <c r="A66" s="26" t="s">
        <v>261</v>
      </c>
    </row>
    <row r="67" ht="14.25" customHeight="1">
      <c r="A67" s="26" t="s">
        <v>262</v>
      </c>
    </row>
    <row r="68" ht="14.25" customHeight="1">
      <c r="A68" s="26" t="s">
        <v>263</v>
      </c>
    </row>
    <row r="69" ht="14.25" customHeight="1"/>
    <row r="70" ht="14.25" customHeight="1"/>
    <row r="71" ht="14.25" customHeight="1"/>
  </sheetData>
  <mergeCells count="13">
    <mergeCell ref="A1:F1"/>
    <mergeCell ref="A2:F2"/>
    <mergeCell ref="B5:E5"/>
    <mergeCell ref="B10:E10"/>
    <mergeCell ref="B16:E16"/>
    <mergeCell ref="B21:E21"/>
    <mergeCell ref="B25:E25"/>
    <mergeCell ref="B29:E29"/>
    <mergeCell ref="B36:E36"/>
    <mergeCell ref="B41:E41"/>
    <mergeCell ref="B46:E46"/>
    <mergeCell ref="B51:E51"/>
    <mergeCell ref="B57:E57"/>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pane ySplit="3" topLeftCell="A4" activePane="bottomLeft" state="frozen"/>
      <selection activeCell="A1" activeCellId="0" sqref="A1"/>
    </sheetView>
  </sheetViews>
  <sheetFormatPr defaultColWidth="8.6796875" defaultRowHeight="15"/>
  <cols>
    <col customWidth="1" min="1" max="1" style="1" width="28"/>
    <col customWidth="1" min="2" max="2" style="1" width="10"/>
    <col customWidth="1" min="3" max="3" style="1" width="34"/>
    <col customWidth="1" min="4" max="4" style="1" width="60"/>
    <col customWidth="1" min="5" max="5" style="1" width="24"/>
    <col customWidth="1" min="6" max="6" style="1" width="18"/>
    <col customWidth="1" min="7" max="7" style="1" width="12"/>
    <col customWidth="1" min="8" max="8" style="1" width="26"/>
    <col customWidth="1" min="9" max="10" style="1" width="13"/>
    <col customWidth="1" min="11" max="11" style="1" width="30"/>
    <col customWidth="1" min="12" max="12" style="1" width="16"/>
    <col customWidth="1" min="13" max="13" style="1" width="24"/>
    <col customWidth="1" min="14" max="14" style="1" width="30"/>
  </cols>
  <sheetData>
    <row r="1" ht="15.75" customHeight="1">
      <c r="A1" s="9" t="s">
        <v>264</v>
      </c>
      <c r="B1" s="9"/>
      <c r="C1" s="9"/>
      <c r="D1" s="9"/>
    </row>
    <row r="3" ht="23.25" customHeight="1">
      <c r="A3" s="27" t="s">
        <v>265</v>
      </c>
      <c r="B3" s="27" t="s">
        <v>266</v>
      </c>
      <c r="C3" s="27" t="s">
        <v>267</v>
      </c>
      <c r="D3" s="27" t="s">
        <v>268</v>
      </c>
      <c r="E3" s="27" t="s">
        <v>269</v>
      </c>
      <c r="F3" s="27" t="s">
        <v>270</v>
      </c>
      <c r="G3" s="27" t="s">
        <v>271</v>
      </c>
      <c r="H3" s="27" t="s">
        <v>272</v>
      </c>
      <c r="I3" s="27" t="s">
        <v>273</v>
      </c>
      <c r="J3" s="27" t="s">
        <v>274</v>
      </c>
      <c r="K3" s="27" t="s">
        <v>275</v>
      </c>
      <c r="L3" s="27" t="s">
        <v>276</v>
      </c>
      <c r="M3" s="27" t="inlineStr">
        <is>
          <t>Test of Design</t>
        </is>
      </c>
      <c r="N3" s="27" t="inlineStr">
        <is>
          <t>Test of Operating Effectiveness</t>
        </is>
      </c>
    </row>
    <row r="4" ht="55.5" customHeight="1">
      <c r="A4" s="12" t="s">
        <v>277</v>
      </c>
      <c r="B4" s="11" t="s">
        <v>278</v>
      </c>
      <c r="C4" s="12" t="s">
        <v>279</v>
      </c>
      <c r="D4" s="12" t="s">
        <v>280</v>
      </c>
      <c r="E4" s="12" t="s">
        <v>281</v>
      </c>
      <c r="F4" s="28" t="s">
        <v>282</v>
      </c>
      <c r="G4" s="28"/>
      <c r="H4" s="12"/>
      <c r="I4" s="12"/>
      <c r="J4" s="12"/>
      <c r="K4" s="12"/>
      <c r="L4" s="12"/>
      <c r="M4" s="12"/>
      <c r="N4" s="12"/>
    </row>
    <row r="5" ht="55.5" customHeight="1">
      <c r="A5" s="29" t="s">
        <v>277</v>
      </c>
      <c r="B5" s="30" t="s">
        <v>283</v>
      </c>
      <c r="C5" s="29" t="s">
        <v>284</v>
      </c>
      <c r="D5" s="29" t="s">
        <v>285</v>
      </c>
      <c r="E5" s="29" t="s">
        <v>281</v>
      </c>
      <c r="F5" s="31" t="s">
        <v>282</v>
      </c>
      <c r="G5" s="31"/>
      <c r="H5" s="29"/>
      <c r="I5" s="29"/>
      <c r="J5" s="29"/>
      <c r="K5" s="29"/>
      <c r="L5" s="12"/>
      <c r="M5" s="12"/>
      <c r="N5" s="12"/>
    </row>
    <row r="6" ht="55.5" customHeight="1">
      <c r="A6" s="12" t="s">
        <v>277</v>
      </c>
      <c r="B6" s="11" t="s">
        <v>286</v>
      </c>
      <c r="C6" s="12" t="s">
        <v>287</v>
      </c>
      <c r="D6" s="12" t="s">
        <v>288</v>
      </c>
      <c r="E6" s="12" t="s">
        <v>281</v>
      </c>
      <c r="F6" s="28" t="s">
        <v>282</v>
      </c>
      <c r="G6" s="28"/>
      <c r="H6" s="12"/>
      <c r="I6" s="12"/>
      <c r="J6" s="12"/>
      <c r="K6" s="12"/>
      <c r="L6" s="12" t="s">
        <v>289</v>
      </c>
      <c r="M6" s="12"/>
      <c r="N6" s="12"/>
    </row>
    <row r="7" ht="55.5" customHeight="1">
      <c r="A7" s="29" t="s">
        <v>290</v>
      </c>
      <c r="B7" s="30" t="s">
        <v>291</v>
      </c>
      <c r="C7" s="29" t="s">
        <v>292</v>
      </c>
      <c r="D7" s="29" t="s">
        <v>293</v>
      </c>
      <c r="E7" s="29" t="s">
        <v>110</v>
      </c>
      <c r="F7" s="31" t="s">
        <v>282</v>
      </c>
      <c r="G7" s="31"/>
      <c r="H7" s="29"/>
      <c r="I7" s="29"/>
      <c r="J7" s="29"/>
      <c r="K7" s="29"/>
      <c r="L7" s="12"/>
      <c r="M7" s="12"/>
      <c r="N7" s="12"/>
    </row>
    <row r="8" ht="55.5" customHeight="1">
      <c r="A8" s="12" t="s">
        <v>290</v>
      </c>
      <c r="B8" s="11" t="s">
        <v>294</v>
      </c>
      <c r="C8" s="12" t="s">
        <v>295</v>
      </c>
      <c r="D8" s="12" t="s">
        <v>296</v>
      </c>
      <c r="E8" s="12" t="s">
        <v>110</v>
      </c>
      <c r="F8" s="28" t="s">
        <v>282</v>
      </c>
      <c r="G8" s="28"/>
      <c r="H8" s="12"/>
      <c r="I8" s="12"/>
      <c r="J8" s="12"/>
      <c r="K8" s="12"/>
      <c r="L8" s="12" t="s">
        <v>297</v>
      </c>
      <c r="M8" s="12"/>
      <c r="N8" s="12"/>
    </row>
    <row r="9" ht="55.5" customHeight="1">
      <c r="A9" s="29" t="s">
        <v>298</v>
      </c>
      <c r="B9" s="30" t="s">
        <v>299</v>
      </c>
      <c r="C9" s="29" t="s">
        <v>300</v>
      </c>
      <c r="D9" s="29" t="s">
        <v>301</v>
      </c>
      <c r="E9" s="29" t="s">
        <v>302</v>
      </c>
      <c r="F9" s="31" t="s">
        <v>282</v>
      </c>
      <c r="G9" s="31"/>
      <c r="H9" s="29"/>
      <c r="I9" s="29"/>
      <c r="J9" s="29"/>
      <c r="K9" s="29"/>
      <c r="L9" s="12" t="s">
        <v>303</v>
      </c>
      <c r="M9" s="12"/>
      <c r="N9" s="12"/>
    </row>
    <row r="10" ht="55.5" customHeight="1">
      <c r="A10" s="12" t="s">
        <v>298</v>
      </c>
      <c r="B10" s="11" t="s">
        <v>304</v>
      </c>
      <c r="C10" s="12" t="s">
        <v>305</v>
      </c>
      <c r="D10" s="12" t="s">
        <v>306</v>
      </c>
      <c r="E10" s="12" t="s">
        <v>302</v>
      </c>
      <c r="F10" s="28" t="s">
        <v>282</v>
      </c>
      <c r="G10" s="28"/>
      <c r="H10" s="12"/>
      <c r="I10" s="12"/>
      <c r="J10" s="12"/>
      <c r="K10" s="12"/>
      <c r="L10" s="12"/>
      <c r="M10" s="12"/>
      <c r="N10" s="12"/>
    </row>
    <row r="11" ht="55.5" customHeight="1">
      <c r="A11" s="29" t="s">
        <v>298</v>
      </c>
      <c r="B11" s="30" t="s">
        <v>307</v>
      </c>
      <c r="C11" s="29" t="s">
        <v>308</v>
      </c>
      <c r="D11" s="29" t="s">
        <v>309</v>
      </c>
      <c r="E11" s="29" t="s">
        <v>302</v>
      </c>
      <c r="F11" s="31" t="s">
        <v>282</v>
      </c>
      <c r="G11" s="31"/>
      <c r="H11" s="29"/>
      <c r="I11" s="29"/>
      <c r="J11" s="29"/>
      <c r="K11" s="29"/>
      <c r="L11" s="12"/>
      <c r="M11" s="12"/>
      <c r="N11" s="12"/>
    </row>
    <row r="12" ht="55.5" customHeight="1">
      <c r="A12" s="12" t="s">
        <v>298</v>
      </c>
      <c r="B12" s="11" t="s">
        <v>310</v>
      </c>
      <c r="C12" s="12" t="s">
        <v>311</v>
      </c>
      <c r="D12" s="12" t="s">
        <v>312</v>
      </c>
      <c r="E12" s="12" t="s">
        <v>302</v>
      </c>
      <c r="F12" s="28" t="s">
        <v>282</v>
      </c>
      <c r="G12" s="28"/>
      <c r="H12" s="12"/>
      <c r="I12" s="12"/>
      <c r="J12" s="12"/>
      <c r="K12" s="12"/>
      <c r="L12" s="12"/>
      <c r="M12" s="12"/>
      <c r="N12" s="12"/>
    </row>
    <row r="13" ht="55.5" customHeight="1">
      <c r="A13" s="29" t="s">
        <v>298</v>
      </c>
      <c r="B13" s="30" t="s">
        <v>313</v>
      </c>
      <c r="C13" s="29" t="s">
        <v>314</v>
      </c>
      <c r="D13" s="29" t="s">
        <v>315</v>
      </c>
      <c r="E13" s="29" t="s">
        <v>302</v>
      </c>
      <c r="F13" s="31" t="s">
        <v>282</v>
      </c>
      <c r="G13" s="31"/>
      <c r="H13" s="29"/>
      <c r="I13" s="29"/>
      <c r="J13" s="29"/>
      <c r="K13" s="29"/>
      <c r="L13" s="12" t="s">
        <v>316</v>
      </c>
      <c r="M13" s="12"/>
      <c r="N13" s="12"/>
    </row>
    <row r="14" ht="55.5" customHeight="1">
      <c r="A14" s="12" t="s">
        <v>317</v>
      </c>
      <c r="B14" s="11" t="s">
        <v>318</v>
      </c>
      <c r="C14" s="12" t="s">
        <v>319</v>
      </c>
      <c r="D14" s="12" t="s">
        <v>320</v>
      </c>
      <c r="E14" s="12" t="s">
        <v>110</v>
      </c>
      <c r="F14" s="28" t="s">
        <v>282</v>
      </c>
      <c r="G14" s="28"/>
      <c r="H14" s="12"/>
      <c r="I14" s="12"/>
      <c r="J14" s="12"/>
      <c r="K14" s="12"/>
      <c r="L14" s="12" t="s">
        <v>321</v>
      </c>
      <c r="M14" s="12"/>
      <c r="N14" s="12"/>
    </row>
    <row r="15" ht="55.5" customHeight="1">
      <c r="A15" s="29" t="s">
        <v>317</v>
      </c>
      <c r="B15" s="30" t="s">
        <v>322</v>
      </c>
      <c r="C15" s="29" t="s">
        <v>323</v>
      </c>
      <c r="D15" s="29" t="s">
        <v>324</v>
      </c>
      <c r="E15" s="29" t="s">
        <v>110</v>
      </c>
      <c r="F15" s="31" t="s">
        <v>282</v>
      </c>
      <c r="G15" s="31"/>
      <c r="H15" s="29"/>
      <c r="I15" s="29"/>
      <c r="J15" s="29"/>
      <c r="K15" s="29"/>
      <c r="L15" s="12" t="s">
        <v>325</v>
      </c>
      <c r="M15" s="12"/>
      <c r="N15" s="12"/>
    </row>
    <row r="16" ht="55.5" customHeight="1">
      <c r="A16" s="12" t="s">
        <v>317</v>
      </c>
      <c r="B16" s="11" t="s">
        <v>326</v>
      </c>
      <c r="C16" s="12" t="s">
        <v>327</v>
      </c>
      <c r="D16" s="12" t="s">
        <v>328</v>
      </c>
      <c r="E16" s="12" t="s">
        <v>110</v>
      </c>
      <c r="F16" s="28" t="s">
        <v>282</v>
      </c>
      <c r="G16" s="28"/>
      <c r="H16" s="12"/>
      <c r="I16" s="12"/>
      <c r="J16" s="12"/>
      <c r="K16" s="12"/>
      <c r="L16" s="12" t="s">
        <v>325</v>
      </c>
      <c r="M16" s="12"/>
      <c r="N16" s="12"/>
    </row>
    <row r="17" ht="55.5" customHeight="1">
      <c r="A17" s="29" t="s">
        <v>317</v>
      </c>
      <c r="B17" s="30" t="s">
        <v>329</v>
      </c>
      <c r="C17" s="29" t="s">
        <v>330</v>
      </c>
      <c r="D17" s="29" t="s">
        <v>331</v>
      </c>
      <c r="E17" s="29" t="s">
        <v>110</v>
      </c>
      <c r="F17" s="31" t="s">
        <v>282</v>
      </c>
      <c r="G17" s="31"/>
      <c r="H17" s="29"/>
      <c r="I17" s="29"/>
      <c r="J17" s="29"/>
      <c r="K17" s="29"/>
      <c r="L17" s="12" t="s">
        <v>325</v>
      </c>
      <c r="M17" s="12"/>
      <c r="N17" s="12"/>
    </row>
    <row r="18" ht="55.5" customHeight="1">
      <c r="A18" s="12" t="s">
        <v>332</v>
      </c>
      <c r="B18" s="11" t="s">
        <v>333</v>
      </c>
      <c r="C18" s="12" t="s">
        <v>334</v>
      </c>
      <c r="D18" s="12" t="s">
        <v>335</v>
      </c>
      <c r="E18" s="12" t="s">
        <v>336</v>
      </c>
      <c r="F18" s="28" t="s">
        <v>282</v>
      </c>
      <c r="G18" s="28"/>
      <c r="H18" s="12"/>
      <c r="I18" s="12"/>
      <c r="J18" s="12"/>
      <c r="K18" s="12"/>
      <c r="L18" s="12"/>
      <c r="M18" s="12"/>
      <c r="N18" s="12"/>
    </row>
    <row r="19" ht="55.5" customHeight="1">
      <c r="A19" s="29" t="s">
        <v>332</v>
      </c>
      <c r="B19" s="30" t="s">
        <v>337</v>
      </c>
      <c r="C19" s="29" t="s">
        <v>338</v>
      </c>
      <c r="D19" s="29" t="s">
        <v>339</v>
      </c>
      <c r="E19" s="29" t="s">
        <v>336</v>
      </c>
      <c r="F19" s="31" t="s">
        <v>282</v>
      </c>
      <c r="G19" s="31"/>
      <c r="H19" s="29"/>
      <c r="I19" s="29"/>
      <c r="J19" s="29"/>
      <c r="K19" s="29"/>
      <c r="L19" s="12"/>
      <c r="M19" s="12"/>
      <c r="N19" s="12"/>
    </row>
    <row r="20" ht="55.5" customHeight="1">
      <c r="A20" s="12" t="s">
        <v>332</v>
      </c>
      <c r="B20" s="11" t="s">
        <v>340</v>
      </c>
      <c r="C20" s="12" t="s">
        <v>341</v>
      </c>
      <c r="D20" s="12" t="s">
        <v>342</v>
      </c>
      <c r="E20" s="12" t="s">
        <v>336</v>
      </c>
      <c r="F20" s="28" t="s">
        <v>282</v>
      </c>
      <c r="G20" s="28"/>
      <c r="H20" s="12"/>
      <c r="I20" s="12"/>
      <c r="J20" s="12"/>
      <c r="K20" s="12"/>
      <c r="L20" s="12" t="s">
        <v>343</v>
      </c>
      <c r="M20" s="12"/>
      <c r="N20" s="12"/>
    </row>
    <row r="21" ht="55.5" customHeight="1">
      <c r="A21" s="29" t="s">
        <v>332</v>
      </c>
      <c r="B21" s="30" t="s">
        <v>344</v>
      </c>
      <c r="C21" s="29" t="s">
        <v>345</v>
      </c>
      <c r="D21" s="29" t="s">
        <v>346</v>
      </c>
      <c r="E21" s="29" t="s">
        <v>336</v>
      </c>
      <c r="F21" s="31" t="s">
        <v>282</v>
      </c>
      <c r="G21" s="31"/>
      <c r="H21" s="29"/>
      <c r="I21" s="29"/>
      <c r="J21" s="29"/>
      <c r="K21" s="29"/>
      <c r="L21" s="12" t="s">
        <v>343</v>
      </c>
      <c r="M21" s="12"/>
      <c r="N21" s="12"/>
    </row>
    <row r="22" ht="55.5" customHeight="1">
      <c r="A22" s="12" t="s">
        <v>332</v>
      </c>
      <c r="B22" s="11" t="s">
        <v>347</v>
      </c>
      <c r="C22" s="12" t="s">
        <v>348</v>
      </c>
      <c r="D22" s="12" t="s">
        <v>349</v>
      </c>
      <c r="E22" s="12" t="s">
        <v>336</v>
      </c>
      <c r="F22" s="28" t="s">
        <v>282</v>
      </c>
      <c r="G22" s="28"/>
      <c r="H22" s="12"/>
      <c r="I22" s="12"/>
      <c r="J22" s="12"/>
      <c r="K22" s="12"/>
      <c r="L22" s="12" t="s">
        <v>350</v>
      </c>
      <c r="M22" s="12"/>
      <c r="N22" s="12"/>
    </row>
    <row r="23" ht="55.5" customHeight="1">
      <c r="A23" s="29" t="s">
        <v>332</v>
      </c>
      <c r="B23" s="30" t="s">
        <v>351</v>
      </c>
      <c r="C23" s="29" t="s">
        <v>352</v>
      </c>
      <c r="D23" s="29" t="s">
        <v>353</v>
      </c>
      <c r="E23" s="29" t="s">
        <v>336</v>
      </c>
      <c r="F23" s="31" t="s">
        <v>282</v>
      </c>
      <c r="G23" s="31"/>
      <c r="H23" s="29"/>
      <c r="I23" s="29"/>
      <c r="J23" s="29"/>
      <c r="K23" s="29"/>
      <c r="L23" s="12" t="s">
        <v>354</v>
      </c>
      <c r="M23" s="12"/>
      <c r="N23" s="12"/>
    </row>
    <row r="24" ht="55.5" customHeight="1">
      <c r="A24" s="12" t="s">
        <v>332</v>
      </c>
      <c r="B24" s="11" t="s">
        <v>355</v>
      </c>
      <c r="C24" s="12" t="s">
        <v>356</v>
      </c>
      <c r="D24" s="12" t="s">
        <v>357</v>
      </c>
      <c r="E24" s="12" t="s">
        <v>336</v>
      </c>
      <c r="F24" s="28" t="s">
        <v>282</v>
      </c>
      <c r="G24" s="28"/>
      <c r="H24" s="12"/>
      <c r="I24" s="12"/>
      <c r="J24" s="12"/>
      <c r="K24" s="12"/>
      <c r="L24" s="12" t="s">
        <v>358</v>
      </c>
      <c r="M24" s="12"/>
      <c r="N24" s="12"/>
    </row>
    <row r="25" ht="55.5" customHeight="1">
      <c r="A25" s="29" t="s">
        <v>332</v>
      </c>
      <c r="B25" s="30" t="s">
        <v>359</v>
      </c>
      <c r="C25" s="29" t="s">
        <v>360</v>
      </c>
      <c r="D25" s="29" t="s">
        <v>361</v>
      </c>
      <c r="E25" s="29" t="s">
        <v>336</v>
      </c>
      <c r="F25" s="31" t="s">
        <v>282</v>
      </c>
      <c r="G25" s="31"/>
      <c r="H25" s="29"/>
      <c r="I25" s="29"/>
      <c r="J25" s="29"/>
      <c r="K25" s="29"/>
      <c r="L25" s="12"/>
      <c r="M25" s="12"/>
      <c r="N25" s="12"/>
    </row>
    <row r="26" ht="55.5" customHeight="1">
      <c r="A26" s="12" t="s">
        <v>332</v>
      </c>
      <c r="B26" s="11" t="s">
        <v>362</v>
      </c>
      <c r="C26" s="12" t="s">
        <v>363</v>
      </c>
      <c r="D26" s="12" t="s">
        <v>364</v>
      </c>
      <c r="E26" s="12" t="s">
        <v>336</v>
      </c>
      <c r="F26" s="28" t="s">
        <v>282</v>
      </c>
      <c r="G26" s="28"/>
      <c r="H26" s="12"/>
      <c r="I26" s="12"/>
      <c r="J26" s="12"/>
      <c r="K26" s="12"/>
      <c r="L26" s="12"/>
      <c r="M26" s="12"/>
      <c r="N26" s="12"/>
    </row>
    <row r="27" ht="55.5" customHeight="1">
      <c r="A27" s="29" t="s">
        <v>365</v>
      </c>
      <c r="B27" s="30" t="s">
        <v>366</v>
      </c>
      <c r="C27" s="29" t="s">
        <v>367</v>
      </c>
      <c r="D27" s="29" t="s">
        <v>368</v>
      </c>
      <c r="E27" s="29" t="s">
        <v>72</v>
      </c>
      <c r="F27" s="31" t="s">
        <v>282</v>
      </c>
      <c r="G27" s="31"/>
      <c r="H27" s="29"/>
      <c r="I27" s="29"/>
      <c r="J27" s="29"/>
      <c r="K27" s="29"/>
      <c r="L27" s="12" t="s">
        <v>343</v>
      </c>
      <c r="M27" s="12"/>
      <c r="N27" s="12"/>
    </row>
    <row r="28" ht="55.5" customHeight="1">
      <c r="A28" s="12" t="s">
        <v>365</v>
      </c>
      <c r="B28" s="11" t="s">
        <v>369</v>
      </c>
      <c r="C28" s="12" t="s">
        <v>370</v>
      </c>
      <c r="D28" s="12" t="s">
        <v>371</v>
      </c>
      <c r="E28" s="12" t="s">
        <v>72</v>
      </c>
      <c r="F28" s="28" t="s">
        <v>282</v>
      </c>
      <c r="G28" s="28"/>
      <c r="H28" s="12"/>
      <c r="I28" s="12"/>
      <c r="J28" s="12"/>
      <c r="K28" s="12"/>
      <c r="L28" s="12" t="s">
        <v>343</v>
      </c>
      <c r="M28" s="12"/>
      <c r="N28" s="12"/>
    </row>
    <row r="29" ht="55.5" customHeight="1">
      <c r="A29" s="29" t="s">
        <v>365</v>
      </c>
      <c r="B29" s="30" t="s">
        <v>372</v>
      </c>
      <c r="C29" s="29" t="s">
        <v>373</v>
      </c>
      <c r="D29" s="29" t="s">
        <v>374</v>
      </c>
      <c r="E29" s="29" t="s">
        <v>72</v>
      </c>
      <c r="F29" s="31" t="s">
        <v>282</v>
      </c>
      <c r="G29" s="31"/>
      <c r="H29" s="29"/>
      <c r="I29" s="29"/>
      <c r="J29" s="29"/>
      <c r="K29" s="29"/>
      <c r="L29" s="12" t="s">
        <v>343</v>
      </c>
      <c r="M29" s="12"/>
      <c r="N29" s="12"/>
    </row>
    <row r="30" ht="55.5" customHeight="1">
      <c r="A30" s="12" t="s">
        <v>365</v>
      </c>
      <c r="B30" s="11" t="s">
        <v>375</v>
      </c>
      <c r="C30" s="12" t="s">
        <v>376</v>
      </c>
      <c r="D30" s="12" t="s">
        <v>377</v>
      </c>
      <c r="E30" s="12" t="s">
        <v>72</v>
      </c>
      <c r="F30" s="28" t="s">
        <v>282</v>
      </c>
      <c r="G30" s="28"/>
      <c r="H30" s="12"/>
      <c r="I30" s="12"/>
      <c r="J30" s="12"/>
      <c r="K30" s="12"/>
      <c r="L30" s="12" t="s">
        <v>343</v>
      </c>
      <c r="M30" s="12"/>
      <c r="N30" s="12"/>
    </row>
    <row r="31" ht="55.5" customHeight="1">
      <c r="A31" s="29" t="s">
        <v>365</v>
      </c>
      <c r="B31" s="30" t="s">
        <v>378</v>
      </c>
      <c r="C31" s="29" t="s">
        <v>379</v>
      </c>
      <c r="D31" s="29" t="s">
        <v>380</v>
      </c>
      <c r="E31" s="29" t="s">
        <v>72</v>
      </c>
      <c r="F31" s="31" t="s">
        <v>282</v>
      </c>
      <c r="G31" s="31"/>
      <c r="H31" s="29"/>
      <c r="I31" s="29"/>
      <c r="J31" s="29"/>
      <c r="K31" s="29"/>
      <c r="L31" s="12" t="s">
        <v>343</v>
      </c>
      <c r="M31" s="12"/>
      <c r="N31" s="12"/>
    </row>
    <row r="32" ht="55.5" customHeight="1">
      <c r="A32" s="12" t="s">
        <v>381</v>
      </c>
      <c r="B32" s="11" t="s">
        <v>382</v>
      </c>
      <c r="C32" s="12" t="s">
        <v>383</v>
      </c>
      <c r="D32" s="12" t="s">
        <v>384</v>
      </c>
      <c r="E32" s="12" t="s">
        <v>82</v>
      </c>
      <c r="F32" s="28" t="s">
        <v>282</v>
      </c>
      <c r="G32" s="28"/>
      <c r="H32" s="12"/>
      <c r="I32" s="12"/>
      <c r="J32" s="12"/>
      <c r="K32" s="12"/>
      <c r="L32" s="12" t="s">
        <v>316</v>
      </c>
      <c r="M32" s="12"/>
      <c r="N32" s="12"/>
    </row>
    <row r="33" ht="55.5" customHeight="1">
      <c r="A33" s="29" t="s">
        <v>381</v>
      </c>
      <c r="B33" s="30" t="s">
        <v>385</v>
      </c>
      <c r="C33" s="29" t="s">
        <v>386</v>
      </c>
      <c r="D33" s="29" t="s">
        <v>387</v>
      </c>
      <c r="E33" s="29" t="s">
        <v>82</v>
      </c>
      <c r="F33" s="31" t="s">
        <v>282</v>
      </c>
      <c r="G33" s="31"/>
      <c r="H33" s="29"/>
      <c r="I33" s="29"/>
      <c r="J33" s="29"/>
      <c r="K33" s="29"/>
      <c r="L33" s="12" t="s">
        <v>316</v>
      </c>
      <c r="M33" s="12"/>
      <c r="N33" s="12"/>
    </row>
    <row r="34" ht="55.5" customHeight="1">
      <c r="A34" s="12" t="s">
        <v>381</v>
      </c>
      <c r="B34" s="11" t="s">
        <v>388</v>
      </c>
      <c r="C34" s="12" t="s">
        <v>389</v>
      </c>
      <c r="D34" s="12" t="s">
        <v>390</v>
      </c>
      <c r="E34" s="12" t="s">
        <v>82</v>
      </c>
      <c r="F34" s="28" t="s">
        <v>282</v>
      </c>
      <c r="G34" s="28"/>
      <c r="H34" s="12"/>
      <c r="I34" s="12"/>
      <c r="J34" s="12"/>
      <c r="K34" s="12"/>
      <c r="L34" s="12" t="s">
        <v>391</v>
      </c>
      <c r="M34" s="12"/>
      <c r="N34" s="12"/>
    </row>
    <row r="35" ht="55.5" customHeight="1">
      <c r="A35" s="29" t="s">
        <v>381</v>
      </c>
      <c r="B35" s="30" t="s">
        <v>392</v>
      </c>
      <c r="C35" s="29" t="s">
        <v>393</v>
      </c>
      <c r="D35" s="29" t="s">
        <v>394</v>
      </c>
      <c r="E35" s="29" t="s">
        <v>82</v>
      </c>
      <c r="F35" s="31" t="s">
        <v>282</v>
      </c>
      <c r="G35" s="31"/>
      <c r="H35" s="29"/>
      <c r="I35" s="29"/>
      <c r="J35" s="29"/>
      <c r="K35" s="29"/>
      <c r="L35" s="12" t="s">
        <v>316</v>
      </c>
      <c r="M35" s="12"/>
      <c r="N35" s="12"/>
    </row>
    <row r="36" ht="55.5" customHeight="1">
      <c r="A36" s="12" t="s">
        <v>395</v>
      </c>
      <c r="B36" s="11" t="s">
        <v>396</v>
      </c>
      <c r="C36" s="12" t="s">
        <v>397</v>
      </c>
      <c r="D36" s="12" t="s">
        <v>398</v>
      </c>
      <c r="E36" s="12" t="s">
        <v>302</v>
      </c>
      <c r="F36" s="28" t="s">
        <v>282</v>
      </c>
      <c r="G36" s="28"/>
      <c r="H36" s="12"/>
      <c r="I36" s="12"/>
      <c r="J36" s="12"/>
      <c r="K36" s="12"/>
      <c r="L36" s="12" t="s">
        <v>354</v>
      </c>
      <c r="M36" s="12"/>
      <c r="N36" s="12"/>
    </row>
    <row r="37" ht="55.5" customHeight="1">
      <c r="A37" s="29" t="s">
        <v>395</v>
      </c>
      <c r="B37" s="30" t="s">
        <v>399</v>
      </c>
      <c r="C37" s="29" t="s">
        <v>400</v>
      </c>
      <c r="D37" s="29" t="s">
        <v>401</v>
      </c>
      <c r="E37" s="29" t="s">
        <v>302</v>
      </c>
      <c r="F37" s="31" t="s">
        <v>282</v>
      </c>
      <c r="G37" s="31"/>
      <c r="H37" s="29"/>
      <c r="I37" s="29"/>
      <c r="J37" s="29"/>
      <c r="K37" s="29"/>
      <c r="L37" s="12" t="s">
        <v>402</v>
      </c>
      <c r="M37" s="12"/>
      <c r="N37" s="12"/>
    </row>
    <row r="38" ht="55.5" customHeight="1">
      <c r="A38" s="12" t="s">
        <v>395</v>
      </c>
      <c r="B38" s="11" t="s">
        <v>403</v>
      </c>
      <c r="C38" s="12" t="s">
        <v>404</v>
      </c>
      <c r="D38" s="12" t="s">
        <v>405</v>
      </c>
      <c r="E38" s="12" t="s">
        <v>302</v>
      </c>
      <c r="F38" s="28" t="s">
        <v>282</v>
      </c>
      <c r="G38" s="28"/>
      <c r="H38" s="12"/>
      <c r="I38" s="12"/>
      <c r="J38" s="12"/>
      <c r="K38" s="12"/>
      <c r="L38" s="12" t="s">
        <v>402</v>
      </c>
      <c r="M38" s="12"/>
      <c r="N38" s="12"/>
    </row>
    <row r="39" ht="55.5" customHeight="1">
      <c r="A39" s="29" t="s">
        <v>406</v>
      </c>
      <c r="B39" s="30" t="s">
        <v>407</v>
      </c>
      <c r="C39" s="29" t="s">
        <v>408</v>
      </c>
      <c r="D39" s="29" t="s">
        <v>409</v>
      </c>
      <c r="E39" s="29" t="s">
        <v>410</v>
      </c>
      <c r="F39" s="31" t="s">
        <v>282</v>
      </c>
      <c r="G39" s="31"/>
      <c r="H39" s="29"/>
      <c r="I39" s="29"/>
      <c r="J39" s="29"/>
      <c r="K39" s="29"/>
      <c r="L39" s="12" t="s">
        <v>411</v>
      </c>
      <c r="M39" s="12"/>
      <c r="N39" s="12"/>
    </row>
    <row r="40" ht="55.5" customHeight="1">
      <c r="A40" s="12" t="s">
        <v>406</v>
      </c>
      <c r="B40" s="11" t="s">
        <v>412</v>
      </c>
      <c r="C40" s="12" t="s">
        <v>413</v>
      </c>
      <c r="D40" s="12" t="s">
        <v>414</v>
      </c>
      <c r="E40" s="12" t="s">
        <v>410</v>
      </c>
      <c r="F40" s="28" t="s">
        <v>282</v>
      </c>
      <c r="G40" s="28"/>
      <c r="H40" s="12"/>
      <c r="I40" s="12"/>
      <c r="J40" s="12"/>
      <c r="K40" s="12"/>
      <c r="L40" s="12" t="s">
        <v>411</v>
      </c>
      <c r="M40" s="12"/>
      <c r="N40" s="12"/>
    </row>
    <row r="41" ht="55.5" customHeight="1">
      <c r="A41" s="29" t="s">
        <v>406</v>
      </c>
      <c r="B41" s="30" t="s">
        <v>415</v>
      </c>
      <c r="C41" s="29" t="s">
        <v>416</v>
      </c>
      <c r="D41" s="29" t="s">
        <v>417</v>
      </c>
      <c r="E41" s="29" t="s">
        <v>410</v>
      </c>
      <c r="F41" s="31" t="s">
        <v>282</v>
      </c>
      <c r="G41" s="31"/>
      <c r="H41" s="29"/>
      <c r="I41" s="29"/>
      <c r="J41" s="29"/>
      <c r="K41" s="29"/>
      <c r="L41" s="12" t="s">
        <v>411</v>
      </c>
      <c r="M41" s="12"/>
      <c r="N41" s="12"/>
    </row>
  </sheetData>
  <autoFilter ref="A3:N41"/>
  <mergeCells count="1">
    <mergeCell ref="A1:D1"/>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CCE6A557-97BC-4b89-ADB6-D9C93CAAB3DF}">
      <x14:dataValidations xmlns:xm="http://schemas.microsoft.com/office/excel/2006/main" count="2" disablePrompts="0">
        <x14:dataValidation xr:uid="{C0BF3E63-50A4-4651-B9FC-351417C1C216}" type="list" allowBlank="1" errorStyle="stop" imeMode="noControl" operator="between" showDropDown="0" showErrorMessage="0" showInputMessage="0">
          <x14:formula1>
            <xm:f>"Not tested,Adequate,Partially adequate,Inadequate,Not applicable"</xm:f>
          </x14:formula1>
          <x14:formula2>
            <xm:f>0</xm:f>
          </x14:formula2>
          <xm:sqref>M4:M41</xm:sqref>
        </x14:dataValidation>
        <x14:dataValidation xr:uid="{F885C8C4-573E-4B3B-AE47-175E285DBE79}" type="list" allowBlank="1" errorStyle="stop" imeMode="noControl" operator="between" showDropDown="0" showErrorMessage="0" showInputMessage="0">
          <x14:formula1>
            <xm:f>"Not tested,Effective,Partially effective,Ineffective,Not applicable"</xm:f>
          </x14:formula1>
          <x14:formula2>
            <xm:f>0</xm:f>
          </x14:formula2>
          <xm:sqref>N4:N41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pane ySplit="3" topLeftCell="A4" activePane="bottomLeft" state="frozen"/>
      <selection activeCell="A1" activeCellId="0" sqref="A1"/>
    </sheetView>
  </sheetViews>
  <sheetFormatPr defaultColWidth="8.6796875" defaultRowHeight="15"/>
  <cols>
    <col customWidth="1" min="1" max="1" style="1" width="12"/>
    <col customWidth="1" min="2" max="2" style="1" width="13"/>
    <col customWidth="1" min="3" max="3" style="1" width="40"/>
    <col customWidth="1" min="4" max="4" style="1" width="13"/>
    <col customWidth="1" min="5" max="5" style="1" width="55"/>
    <col customWidth="1" min="6" max="6" style="1" width="24"/>
    <col customWidth="1" min="7" max="7" style="1" width="18"/>
    <col customWidth="1" min="8" max="8" style="1" width="12"/>
    <col customWidth="1" min="9" max="9" style="1" width="26"/>
    <col customWidth="1" min="10" max="11" style="1" width="13"/>
    <col customWidth="1" min="12" max="12" style="1" width="30"/>
    <col customWidth="1" min="13" max="13" style="1" width="16"/>
    <col customWidth="1" min="14" max="14" style="1" width="24"/>
    <col customWidth="1" min="15" max="15" style="1" width="30"/>
  </cols>
  <sheetData>
    <row r="1" ht="15.75" customHeight="1">
      <c r="A1" s="9" t="s">
        <v>418</v>
      </c>
      <c r="B1" s="9"/>
      <c r="C1" s="9"/>
      <c r="D1" s="9"/>
      <c r="E1" s="9"/>
    </row>
    <row r="3" ht="23.25" customHeight="1">
      <c r="A3" s="32" t="s">
        <v>419</v>
      </c>
      <c r="B3" s="32" t="s">
        <v>420</v>
      </c>
      <c r="C3" s="32" t="s">
        <v>421</v>
      </c>
      <c r="D3" s="32" t="s">
        <v>422</v>
      </c>
      <c r="E3" s="32" t="s">
        <v>423</v>
      </c>
      <c r="F3" s="32" t="s">
        <v>269</v>
      </c>
      <c r="G3" s="32" t="s">
        <v>270</v>
      </c>
      <c r="H3" s="32" t="s">
        <v>271</v>
      </c>
      <c r="I3" s="32" t="s">
        <v>272</v>
      </c>
      <c r="J3" s="32" t="s">
        <v>273</v>
      </c>
      <c r="K3" s="32" t="s">
        <v>274</v>
      </c>
      <c r="L3" s="32" t="s">
        <v>275</v>
      </c>
      <c r="M3" s="32" t="s">
        <v>276</v>
      </c>
      <c r="N3" s="32" t="inlineStr">
        <is>
          <t>Test of Design</t>
        </is>
      </c>
      <c r="O3" s="32" t="inlineStr">
        <is>
          <t>Test of Operating Effectiveness</t>
        </is>
      </c>
    </row>
    <row r="4" ht="55.5" customHeight="1">
      <c r="A4" s="12" t="s">
        <v>424</v>
      </c>
      <c r="B4" s="11" t="s">
        <v>425</v>
      </c>
      <c r="C4" s="12" t="s">
        <v>426</v>
      </c>
      <c r="D4" s="12" t="s">
        <v>427</v>
      </c>
      <c r="E4" s="12" t="s">
        <v>428</v>
      </c>
      <c r="F4" s="12" t="s">
        <v>429</v>
      </c>
      <c r="G4" s="28" t="s">
        <v>282</v>
      </c>
      <c r="H4" s="28"/>
      <c r="I4" s="12"/>
      <c r="J4" s="12"/>
      <c r="K4" s="12"/>
      <c r="L4" s="12"/>
      <c r="M4" s="12"/>
      <c r="N4" s="12"/>
      <c r="O4" s="12"/>
    </row>
    <row r="5" ht="55.5" customHeight="1">
      <c r="A5" s="29" t="s">
        <v>424</v>
      </c>
      <c r="B5" s="30" t="s">
        <v>425</v>
      </c>
      <c r="C5" s="29"/>
      <c r="D5" s="29" t="s">
        <v>430</v>
      </c>
      <c r="E5" s="29" t="s">
        <v>431</v>
      </c>
      <c r="F5" s="29" t="s">
        <v>429</v>
      </c>
      <c r="G5" s="31" t="s">
        <v>282</v>
      </c>
      <c r="H5" s="31"/>
      <c r="I5" s="29"/>
      <c r="J5" s="29"/>
      <c r="K5" s="29"/>
      <c r="L5" s="29"/>
      <c r="M5" s="12"/>
      <c r="N5" s="12"/>
      <c r="O5" s="12"/>
    </row>
    <row r="6" ht="55.5" customHeight="1">
      <c r="A6" s="12" t="s">
        <v>424</v>
      </c>
      <c r="B6" s="11" t="s">
        <v>425</v>
      </c>
      <c r="C6" s="12"/>
      <c r="D6" s="12" t="s">
        <v>432</v>
      </c>
      <c r="E6" s="12" t="s">
        <v>433</v>
      </c>
      <c r="F6" s="12" t="s">
        <v>429</v>
      </c>
      <c r="G6" s="28" t="s">
        <v>282</v>
      </c>
      <c r="H6" s="28"/>
      <c r="I6" s="12"/>
      <c r="J6" s="12"/>
      <c r="K6" s="12"/>
      <c r="L6" s="12"/>
      <c r="M6" s="12"/>
      <c r="N6" s="12"/>
      <c r="O6" s="12"/>
    </row>
    <row r="7" ht="55.5" customHeight="1">
      <c r="A7" s="29" t="s">
        <v>424</v>
      </c>
      <c r="B7" s="30" t="s">
        <v>425</v>
      </c>
      <c r="C7" s="29"/>
      <c r="D7" s="29" t="s">
        <v>434</v>
      </c>
      <c r="E7" s="29" t="s">
        <v>435</v>
      </c>
      <c r="F7" s="29" t="s">
        <v>429</v>
      </c>
      <c r="G7" s="31" t="s">
        <v>282</v>
      </c>
      <c r="H7" s="31"/>
      <c r="I7" s="29"/>
      <c r="J7" s="29"/>
      <c r="K7" s="29"/>
      <c r="L7" s="29"/>
      <c r="M7" s="12"/>
      <c r="N7" s="12"/>
      <c r="O7" s="12"/>
    </row>
    <row r="8" ht="55.5" customHeight="1">
      <c r="A8" s="12" t="s">
        <v>424</v>
      </c>
      <c r="B8" s="11" t="s">
        <v>425</v>
      </c>
      <c r="C8" s="12"/>
      <c r="D8" s="12" t="s">
        <v>436</v>
      </c>
      <c r="E8" s="12" t="s">
        <v>437</v>
      </c>
      <c r="F8" s="12" t="s">
        <v>429</v>
      </c>
      <c r="G8" s="28" t="s">
        <v>282</v>
      </c>
      <c r="H8" s="28"/>
      <c r="I8" s="12"/>
      <c r="J8" s="12"/>
      <c r="K8" s="12"/>
      <c r="L8" s="12"/>
      <c r="M8" s="12"/>
      <c r="N8" s="12"/>
      <c r="O8" s="12"/>
    </row>
    <row r="9" ht="55.5" customHeight="1">
      <c r="A9" s="29" t="s">
        <v>424</v>
      </c>
      <c r="B9" s="30" t="s">
        <v>425</v>
      </c>
      <c r="C9" s="29"/>
      <c r="D9" s="29" t="s">
        <v>438</v>
      </c>
      <c r="E9" s="29" t="s">
        <v>439</v>
      </c>
      <c r="F9" s="29" t="s">
        <v>429</v>
      </c>
      <c r="G9" s="31" t="s">
        <v>282</v>
      </c>
      <c r="H9" s="31"/>
      <c r="I9" s="29"/>
      <c r="J9" s="29"/>
      <c r="K9" s="29"/>
      <c r="L9" s="29"/>
      <c r="M9" s="12" t="s">
        <v>303</v>
      </c>
      <c r="N9" s="12"/>
      <c r="O9" s="12"/>
    </row>
    <row r="10" ht="55.5" customHeight="1">
      <c r="A10" s="12" t="s">
        <v>424</v>
      </c>
      <c r="B10" s="11" t="s">
        <v>425</v>
      </c>
      <c r="C10" s="12"/>
      <c r="D10" s="12" t="s">
        <v>440</v>
      </c>
      <c r="E10" s="12" t="s">
        <v>441</v>
      </c>
      <c r="F10" s="12" t="s">
        <v>429</v>
      </c>
      <c r="G10" s="28" t="s">
        <v>282</v>
      </c>
      <c r="H10" s="28"/>
      <c r="I10" s="12"/>
      <c r="J10" s="12"/>
      <c r="K10" s="12"/>
      <c r="L10" s="12"/>
      <c r="M10" s="12" t="s">
        <v>442</v>
      </c>
      <c r="N10" s="12"/>
      <c r="O10" s="12"/>
    </row>
    <row r="11" ht="55.5" customHeight="1">
      <c r="A11" s="29" t="s">
        <v>424</v>
      </c>
      <c r="B11" s="30" t="s">
        <v>443</v>
      </c>
      <c r="C11" s="29" t="s">
        <v>444</v>
      </c>
      <c r="D11" s="29" t="s">
        <v>445</v>
      </c>
      <c r="E11" s="29" t="s">
        <v>446</v>
      </c>
      <c r="F11" s="29" t="s">
        <v>429</v>
      </c>
      <c r="G11" s="31" t="s">
        <v>282</v>
      </c>
      <c r="H11" s="31"/>
      <c r="I11" s="29"/>
      <c r="J11" s="29"/>
      <c r="K11" s="29"/>
      <c r="L11" s="29"/>
      <c r="M11" s="12"/>
      <c r="N11" s="12"/>
      <c r="O11" s="12"/>
    </row>
    <row r="12" ht="55.5" customHeight="1">
      <c r="A12" s="12" t="s">
        <v>424</v>
      </c>
      <c r="B12" s="11" t="s">
        <v>443</v>
      </c>
      <c r="C12" s="12"/>
      <c r="D12" s="12" t="s">
        <v>447</v>
      </c>
      <c r="E12" s="12" t="s">
        <v>448</v>
      </c>
      <c r="F12" s="12" t="s">
        <v>429</v>
      </c>
      <c r="G12" s="28" t="s">
        <v>282</v>
      </c>
      <c r="H12" s="28"/>
      <c r="I12" s="12"/>
      <c r="J12" s="12"/>
      <c r="K12" s="12"/>
      <c r="L12" s="12"/>
      <c r="M12" s="12"/>
      <c r="N12" s="12"/>
      <c r="O12" s="12"/>
    </row>
    <row r="13" ht="55.5" customHeight="1">
      <c r="A13" s="29" t="s">
        <v>424</v>
      </c>
      <c r="B13" s="30" t="s">
        <v>443</v>
      </c>
      <c r="C13" s="29"/>
      <c r="D13" s="29" t="s">
        <v>449</v>
      </c>
      <c r="E13" s="29" t="s">
        <v>450</v>
      </c>
      <c r="F13" s="29" t="s">
        <v>429</v>
      </c>
      <c r="G13" s="31" t="s">
        <v>282</v>
      </c>
      <c r="H13" s="31"/>
      <c r="I13" s="29"/>
      <c r="J13" s="29"/>
      <c r="K13" s="29"/>
      <c r="L13" s="29"/>
      <c r="M13" s="12"/>
      <c r="N13" s="12"/>
      <c r="O13" s="12"/>
    </row>
    <row r="14" ht="55.5" customHeight="1">
      <c r="A14" s="12" t="s">
        <v>424</v>
      </c>
      <c r="B14" s="11" t="s">
        <v>451</v>
      </c>
      <c r="C14" s="12" t="s">
        <v>452</v>
      </c>
      <c r="D14" s="12" t="s">
        <v>453</v>
      </c>
      <c r="E14" s="12" t="s">
        <v>454</v>
      </c>
      <c r="F14" s="12" t="s">
        <v>429</v>
      </c>
      <c r="G14" s="28" t="s">
        <v>282</v>
      </c>
      <c r="H14" s="28"/>
      <c r="I14" s="12"/>
      <c r="J14" s="12"/>
      <c r="K14" s="12"/>
      <c r="L14" s="12"/>
      <c r="M14" s="12"/>
      <c r="N14" s="12"/>
      <c r="O14" s="12"/>
    </row>
    <row r="15" ht="55.5" customHeight="1">
      <c r="A15" s="29" t="s">
        <v>424</v>
      </c>
      <c r="B15" s="30" t="s">
        <v>451</v>
      </c>
      <c r="C15" s="29"/>
      <c r="D15" s="29" t="s">
        <v>455</v>
      </c>
      <c r="E15" s="29" t="s">
        <v>456</v>
      </c>
      <c r="F15" s="29" t="s">
        <v>429</v>
      </c>
      <c r="G15" s="31" t="s">
        <v>282</v>
      </c>
      <c r="H15" s="31"/>
      <c r="I15" s="29"/>
      <c r="J15" s="29"/>
      <c r="K15" s="29"/>
      <c r="L15" s="29"/>
      <c r="M15" s="12"/>
      <c r="N15" s="12"/>
      <c r="O15" s="12"/>
    </row>
    <row r="16" ht="55.5" customHeight="1">
      <c r="A16" s="12" t="s">
        <v>424</v>
      </c>
      <c r="B16" s="11" t="s">
        <v>457</v>
      </c>
      <c r="C16" s="12" t="s">
        <v>458</v>
      </c>
      <c r="D16" s="12" t="s">
        <v>459</v>
      </c>
      <c r="E16" s="12" t="s">
        <v>460</v>
      </c>
      <c r="F16" s="12" t="s">
        <v>429</v>
      </c>
      <c r="G16" s="28" t="s">
        <v>282</v>
      </c>
      <c r="H16" s="28"/>
      <c r="I16" s="12"/>
      <c r="J16" s="12"/>
      <c r="K16" s="12"/>
      <c r="L16" s="12"/>
      <c r="M16" s="12"/>
      <c r="N16" s="12"/>
      <c r="O16" s="12"/>
    </row>
    <row r="17" ht="55.5" customHeight="1">
      <c r="A17" s="29" t="s">
        <v>424</v>
      </c>
      <c r="B17" s="30" t="s">
        <v>457</v>
      </c>
      <c r="C17" s="29"/>
      <c r="D17" s="29" t="s">
        <v>461</v>
      </c>
      <c r="E17" s="29" t="s">
        <v>462</v>
      </c>
      <c r="F17" s="29" t="s">
        <v>429</v>
      </c>
      <c r="G17" s="31" t="s">
        <v>282</v>
      </c>
      <c r="H17" s="31"/>
      <c r="I17" s="29"/>
      <c r="J17" s="29"/>
      <c r="K17" s="29"/>
      <c r="L17" s="29"/>
      <c r="M17" s="12"/>
      <c r="N17" s="12"/>
      <c r="O17" s="12"/>
    </row>
    <row r="18" ht="55.5" customHeight="1">
      <c r="A18" s="12" t="s">
        <v>424</v>
      </c>
      <c r="B18" s="11" t="s">
        <v>457</v>
      </c>
      <c r="C18" s="12"/>
      <c r="D18" s="12" t="s">
        <v>463</v>
      </c>
      <c r="E18" s="12" t="s">
        <v>464</v>
      </c>
      <c r="F18" s="12" t="s">
        <v>429</v>
      </c>
      <c r="G18" s="28" t="s">
        <v>282</v>
      </c>
      <c r="H18" s="28"/>
      <c r="I18" s="12"/>
      <c r="J18" s="12"/>
      <c r="K18" s="12"/>
      <c r="L18" s="12"/>
      <c r="M18" s="12" t="s">
        <v>297</v>
      </c>
      <c r="N18" s="12"/>
      <c r="O18" s="12"/>
    </row>
    <row r="19" ht="55.5" customHeight="1">
      <c r="A19" s="29" t="s">
        <v>424</v>
      </c>
      <c r="B19" s="30" t="s">
        <v>465</v>
      </c>
      <c r="C19" s="29" t="s">
        <v>466</v>
      </c>
      <c r="D19" s="29" t="s">
        <v>467</v>
      </c>
      <c r="E19" s="29" t="s">
        <v>468</v>
      </c>
      <c r="F19" s="29" t="s">
        <v>429</v>
      </c>
      <c r="G19" s="31" t="s">
        <v>282</v>
      </c>
      <c r="H19" s="31"/>
      <c r="I19" s="29"/>
      <c r="J19" s="29"/>
      <c r="K19" s="29"/>
      <c r="L19" s="29"/>
      <c r="M19" s="12" t="s">
        <v>316</v>
      </c>
      <c r="N19" s="12"/>
      <c r="O19" s="12"/>
    </row>
    <row r="20" ht="55.5" customHeight="1">
      <c r="A20" s="12" t="s">
        <v>424</v>
      </c>
      <c r="B20" s="11" t="s">
        <v>465</v>
      </c>
      <c r="C20" s="12"/>
      <c r="D20" s="12" t="s">
        <v>469</v>
      </c>
      <c r="E20" s="12" t="s">
        <v>470</v>
      </c>
      <c r="F20" s="12" t="s">
        <v>429</v>
      </c>
      <c r="G20" s="28" t="s">
        <v>282</v>
      </c>
      <c r="H20" s="28"/>
      <c r="I20" s="12"/>
      <c r="J20" s="12"/>
      <c r="K20" s="12"/>
      <c r="L20" s="12"/>
      <c r="M20" s="12"/>
      <c r="N20" s="12"/>
      <c r="O20" s="12"/>
    </row>
    <row r="21" ht="55.5" customHeight="1">
      <c r="A21" s="29" t="s">
        <v>424</v>
      </c>
      <c r="B21" s="30" t="s">
        <v>471</v>
      </c>
      <c r="C21" s="29" t="s">
        <v>472</v>
      </c>
      <c r="D21" s="29" t="s">
        <v>473</v>
      </c>
      <c r="E21" s="29" t="s">
        <v>474</v>
      </c>
      <c r="F21" s="29" t="s">
        <v>429</v>
      </c>
      <c r="G21" s="31" t="s">
        <v>282</v>
      </c>
      <c r="H21" s="31"/>
      <c r="I21" s="29"/>
      <c r="J21" s="29"/>
      <c r="K21" s="29"/>
      <c r="L21" s="29"/>
      <c r="M21" s="12" t="s">
        <v>411</v>
      </c>
      <c r="N21" s="12"/>
      <c r="O21" s="12"/>
    </row>
    <row r="22" ht="55.5" customHeight="1">
      <c r="A22" s="12" t="s">
        <v>424</v>
      </c>
      <c r="B22" s="11" t="s">
        <v>471</v>
      </c>
      <c r="C22" s="12"/>
      <c r="D22" s="12" t="s">
        <v>475</v>
      </c>
      <c r="E22" s="12" t="s">
        <v>476</v>
      </c>
      <c r="F22" s="12" t="s">
        <v>429</v>
      </c>
      <c r="G22" s="28" t="s">
        <v>282</v>
      </c>
      <c r="H22" s="28"/>
      <c r="I22" s="12"/>
      <c r="J22" s="12"/>
      <c r="K22" s="12"/>
      <c r="L22" s="12"/>
      <c r="M22" s="12" t="s">
        <v>411</v>
      </c>
      <c r="N22" s="12"/>
      <c r="O22" s="12"/>
    </row>
    <row r="23" ht="55.5" customHeight="1">
      <c r="A23" s="29" t="s">
        <v>477</v>
      </c>
      <c r="B23" s="30" t="s">
        <v>478</v>
      </c>
      <c r="C23" s="29" t="s">
        <v>479</v>
      </c>
      <c r="D23" s="29" t="s">
        <v>480</v>
      </c>
      <c r="E23" s="29" t="s">
        <v>481</v>
      </c>
      <c r="F23" s="29" t="s">
        <v>123</v>
      </c>
      <c r="G23" s="31" t="s">
        <v>282</v>
      </c>
      <c r="H23" s="31"/>
      <c r="I23" s="29"/>
      <c r="J23" s="29"/>
      <c r="K23" s="29"/>
      <c r="L23" s="29"/>
      <c r="M23" s="12" t="s">
        <v>303</v>
      </c>
      <c r="N23" s="12"/>
      <c r="O23" s="12"/>
    </row>
    <row r="24" ht="55.5" customHeight="1">
      <c r="A24" s="12" t="s">
        <v>477</v>
      </c>
      <c r="B24" s="11" t="s">
        <v>478</v>
      </c>
      <c r="C24" s="12"/>
      <c r="D24" s="12" t="s">
        <v>482</v>
      </c>
      <c r="E24" s="12" t="s">
        <v>483</v>
      </c>
      <c r="F24" s="12" t="s">
        <v>123</v>
      </c>
      <c r="G24" s="28" t="s">
        <v>282</v>
      </c>
      <c r="H24" s="28"/>
      <c r="I24" s="12"/>
      <c r="J24" s="12"/>
      <c r="K24" s="12"/>
      <c r="L24" s="12"/>
      <c r="M24" s="12"/>
      <c r="N24" s="12"/>
      <c r="O24" s="12"/>
    </row>
    <row r="25" ht="55.5" customHeight="1">
      <c r="A25" s="29" t="s">
        <v>477</v>
      </c>
      <c r="B25" s="30" t="s">
        <v>478</v>
      </c>
      <c r="C25" s="29"/>
      <c r="D25" s="29" t="s">
        <v>484</v>
      </c>
      <c r="E25" s="29" t="s">
        <v>485</v>
      </c>
      <c r="F25" s="29" t="s">
        <v>123</v>
      </c>
      <c r="G25" s="31" t="s">
        <v>282</v>
      </c>
      <c r="H25" s="31"/>
      <c r="I25" s="29"/>
      <c r="J25" s="29"/>
      <c r="K25" s="29"/>
      <c r="L25" s="29"/>
      <c r="M25" s="12"/>
      <c r="N25" s="12"/>
      <c r="O25" s="12"/>
    </row>
    <row r="26" ht="55.5" customHeight="1">
      <c r="A26" s="12" t="s">
        <v>477</v>
      </c>
      <c r="B26" s="11" t="s">
        <v>478</v>
      </c>
      <c r="C26" s="12"/>
      <c r="D26" s="12" t="s">
        <v>486</v>
      </c>
      <c r="E26" s="12" t="s">
        <v>487</v>
      </c>
      <c r="F26" s="12" t="s">
        <v>123</v>
      </c>
      <c r="G26" s="28" t="s">
        <v>282</v>
      </c>
      <c r="H26" s="28"/>
      <c r="I26" s="12"/>
      <c r="J26" s="12"/>
      <c r="K26" s="12"/>
      <c r="L26" s="12"/>
      <c r="M26" s="12"/>
      <c r="N26" s="12"/>
      <c r="O26" s="12"/>
    </row>
    <row r="27" ht="55.5" customHeight="1">
      <c r="A27" s="29" t="s">
        <v>477</v>
      </c>
      <c r="B27" s="30" t="s">
        <v>478</v>
      </c>
      <c r="C27" s="29"/>
      <c r="D27" s="29" t="s">
        <v>488</v>
      </c>
      <c r="E27" s="29" t="s">
        <v>489</v>
      </c>
      <c r="F27" s="29" t="s">
        <v>123</v>
      </c>
      <c r="G27" s="31" t="s">
        <v>282</v>
      </c>
      <c r="H27" s="31"/>
      <c r="I27" s="29"/>
      <c r="J27" s="29"/>
      <c r="K27" s="29"/>
      <c r="L27" s="29"/>
      <c r="M27" s="12"/>
      <c r="N27" s="12"/>
      <c r="O27" s="12"/>
    </row>
    <row r="28" ht="55.5" customHeight="1">
      <c r="A28" s="12" t="s">
        <v>477</v>
      </c>
      <c r="B28" s="11" t="s">
        <v>478</v>
      </c>
      <c r="C28" s="12"/>
      <c r="D28" s="12" t="s">
        <v>490</v>
      </c>
      <c r="E28" s="12" t="s">
        <v>491</v>
      </c>
      <c r="F28" s="12" t="s">
        <v>123</v>
      </c>
      <c r="G28" s="28" t="s">
        <v>282</v>
      </c>
      <c r="H28" s="28"/>
      <c r="I28" s="12"/>
      <c r="J28" s="12"/>
      <c r="K28" s="12"/>
      <c r="L28" s="12"/>
      <c r="M28" s="12"/>
      <c r="N28" s="12"/>
      <c r="O28" s="12"/>
    </row>
    <row r="29" ht="55.5" customHeight="1">
      <c r="A29" s="29" t="s">
        <v>477</v>
      </c>
      <c r="B29" s="30" t="s">
        <v>492</v>
      </c>
      <c r="C29" s="29" t="s">
        <v>493</v>
      </c>
      <c r="D29" s="29" t="s">
        <v>494</v>
      </c>
      <c r="E29" s="29" t="s">
        <v>495</v>
      </c>
      <c r="F29" s="29" t="s">
        <v>123</v>
      </c>
      <c r="G29" s="31" t="s">
        <v>282</v>
      </c>
      <c r="H29" s="31"/>
      <c r="I29" s="29"/>
      <c r="J29" s="29"/>
      <c r="K29" s="29"/>
      <c r="L29" s="29"/>
      <c r="M29" s="12"/>
      <c r="N29" s="12"/>
      <c r="O29" s="12"/>
    </row>
    <row r="30" ht="55.5" customHeight="1">
      <c r="A30" s="12" t="s">
        <v>477</v>
      </c>
      <c r="B30" s="11" t="s">
        <v>492</v>
      </c>
      <c r="C30" s="12"/>
      <c r="D30" s="12" t="s">
        <v>496</v>
      </c>
      <c r="E30" s="12" t="s">
        <v>497</v>
      </c>
      <c r="F30" s="12" t="s">
        <v>123</v>
      </c>
      <c r="G30" s="28" t="s">
        <v>282</v>
      </c>
      <c r="H30" s="28"/>
      <c r="I30" s="12"/>
      <c r="J30" s="12"/>
      <c r="K30" s="12"/>
      <c r="L30" s="12"/>
      <c r="M30" s="12"/>
      <c r="N30" s="12"/>
      <c r="O30" s="12"/>
    </row>
    <row r="31" ht="55.5" customHeight="1">
      <c r="A31" s="29" t="s">
        <v>477</v>
      </c>
      <c r="B31" s="30" t="s">
        <v>492</v>
      </c>
      <c r="C31" s="29"/>
      <c r="D31" s="29" t="s">
        <v>498</v>
      </c>
      <c r="E31" s="29" t="s">
        <v>499</v>
      </c>
      <c r="F31" s="29" t="s">
        <v>123</v>
      </c>
      <c r="G31" s="31" t="s">
        <v>282</v>
      </c>
      <c r="H31" s="31"/>
      <c r="I31" s="29"/>
      <c r="J31" s="29"/>
      <c r="K31" s="29"/>
      <c r="L31" s="29"/>
      <c r="M31" s="12"/>
      <c r="N31" s="12"/>
      <c r="O31" s="12"/>
    </row>
    <row r="32" ht="55.5" customHeight="1">
      <c r="A32" s="12" t="s">
        <v>477</v>
      </c>
      <c r="B32" s="11" t="s">
        <v>500</v>
      </c>
      <c r="C32" s="12" t="s">
        <v>501</v>
      </c>
      <c r="D32" s="12" t="s">
        <v>502</v>
      </c>
      <c r="E32" s="12" t="s">
        <v>503</v>
      </c>
      <c r="F32" s="12" t="s">
        <v>123</v>
      </c>
      <c r="G32" s="28" t="s">
        <v>282</v>
      </c>
      <c r="H32" s="28"/>
      <c r="I32" s="12"/>
      <c r="J32" s="12"/>
      <c r="K32" s="12"/>
      <c r="L32" s="12"/>
      <c r="M32" s="12"/>
      <c r="N32" s="12"/>
      <c r="O32" s="12"/>
    </row>
    <row r="33" ht="55.5" customHeight="1">
      <c r="A33" s="29" t="s">
        <v>477</v>
      </c>
      <c r="B33" s="30" t="s">
        <v>500</v>
      </c>
      <c r="C33" s="29"/>
      <c r="D33" s="29" t="s">
        <v>504</v>
      </c>
      <c r="E33" s="29" t="s">
        <v>505</v>
      </c>
      <c r="F33" s="29" t="s">
        <v>123</v>
      </c>
      <c r="G33" s="31" t="s">
        <v>282</v>
      </c>
      <c r="H33" s="31"/>
      <c r="I33" s="29"/>
      <c r="J33" s="29"/>
      <c r="K33" s="29"/>
      <c r="L33" s="29"/>
      <c r="M33" s="12"/>
      <c r="N33" s="12"/>
      <c r="O33" s="12"/>
    </row>
    <row r="34" ht="55.5" customHeight="1">
      <c r="A34" s="12" t="s">
        <v>477</v>
      </c>
      <c r="B34" s="11" t="s">
        <v>500</v>
      </c>
      <c r="C34" s="12"/>
      <c r="D34" s="12" t="s">
        <v>506</v>
      </c>
      <c r="E34" s="12" t="s">
        <v>507</v>
      </c>
      <c r="F34" s="12" t="s">
        <v>123</v>
      </c>
      <c r="G34" s="28" t="s">
        <v>282</v>
      </c>
      <c r="H34" s="28"/>
      <c r="I34" s="12"/>
      <c r="J34" s="12"/>
      <c r="K34" s="12"/>
      <c r="L34" s="12"/>
      <c r="M34" s="12"/>
      <c r="N34" s="12"/>
      <c r="O34" s="12"/>
    </row>
    <row r="35" ht="55.5" customHeight="1">
      <c r="A35" s="29" t="s">
        <v>477</v>
      </c>
      <c r="B35" s="30" t="s">
        <v>500</v>
      </c>
      <c r="C35" s="29"/>
      <c r="D35" s="29" t="s">
        <v>508</v>
      </c>
      <c r="E35" s="29" t="s">
        <v>509</v>
      </c>
      <c r="F35" s="29" t="s">
        <v>123</v>
      </c>
      <c r="G35" s="31" t="s">
        <v>282</v>
      </c>
      <c r="H35" s="31"/>
      <c r="I35" s="29"/>
      <c r="J35" s="29"/>
      <c r="K35" s="29"/>
      <c r="L35" s="29"/>
      <c r="M35" s="12"/>
      <c r="N35" s="12"/>
      <c r="O35" s="12"/>
    </row>
    <row r="36" ht="55.5" customHeight="1">
      <c r="A36" s="12" t="s">
        <v>477</v>
      </c>
      <c r="B36" s="11" t="s">
        <v>500</v>
      </c>
      <c r="C36" s="12"/>
      <c r="D36" s="12" t="s">
        <v>510</v>
      </c>
      <c r="E36" s="12" t="s">
        <v>511</v>
      </c>
      <c r="F36" s="12" t="s">
        <v>123</v>
      </c>
      <c r="G36" s="28" t="s">
        <v>282</v>
      </c>
      <c r="H36" s="28"/>
      <c r="I36" s="12"/>
      <c r="J36" s="12"/>
      <c r="K36" s="12"/>
      <c r="L36" s="12"/>
      <c r="M36" s="12"/>
      <c r="N36" s="12"/>
      <c r="O36" s="12"/>
    </row>
    <row r="37" ht="55.5" customHeight="1">
      <c r="A37" s="29" t="s">
        <v>477</v>
      </c>
      <c r="B37" s="30" t="s">
        <v>512</v>
      </c>
      <c r="C37" s="29" t="s">
        <v>513</v>
      </c>
      <c r="D37" s="29" t="s">
        <v>514</v>
      </c>
      <c r="E37" s="29" t="s">
        <v>515</v>
      </c>
      <c r="F37" s="29" t="s">
        <v>123</v>
      </c>
      <c r="G37" s="31" t="s">
        <v>282</v>
      </c>
      <c r="H37" s="31"/>
      <c r="I37" s="29"/>
      <c r="J37" s="29"/>
      <c r="K37" s="29"/>
      <c r="L37" s="29"/>
      <c r="M37" s="12" t="s">
        <v>411</v>
      </c>
      <c r="N37" s="12"/>
      <c r="O37" s="12"/>
    </row>
    <row r="38" ht="55.5" customHeight="1">
      <c r="A38" s="12" t="s">
        <v>477</v>
      </c>
      <c r="B38" s="11" t="s">
        <v>512</v>
      </c>
      <c r="C38" s="12"/>
      <c r="D38" s="12" t="s">
        <v>516</v>
      </c>
      <c r="E38" s="12" t="s">
        <v>517</v>
      </c>
      <c r="F38" s="12" t="s">
        <v>123</v>
      </c>
      <c r="G38" s="28" t="s">
        <v>282</v>
      </c>
      <c r="H38" s="28"/>
      <c r="I38" s="12"/>
      <c r="J38" s="12"/>
      <c r="K38" s="12"/>
      <c r="L38" s="12"/>
      <c r="M38" s="12"/>
      <c r="N38" s="12"/>
      <c r="O38" s="12"/>
    </row>
    <row r="39" ht="55.5" customHeight="1">
      <c r="A39" s="29" t="s">
        <v>477</v>
      </c>
      <c r="B39" s="30" t="s">
        <v>518</v>
      </c>
      <c r="C39" s="29" t="s">
        <v>519</v>
      </c>
      <c r="D39" s="29" t="s">
        <v>520</v>
      </c>
      <c r="E39" s="29" t="s">
        <v>521</v>
      </c>
      <c r="F39" s="29" t="s">
        <v>123</v>
      </c>
      <c r="G39" s="31" t="s">
        <v>282</v>
      </c>
      <c r="H39" s="31"/>
      <c r="I39" s="29"/>
      <c r="J39" s="29"/>
      <c r="K39" s="29"/>
      <c r="L39" s="29"/>
      <c r="M39" s="12" t="s">
        <v>325</v>
      </c>
      <c r="N39" s="12"/>
      <c r="O39" s="12"/>
    </row>
    <row r="40" ht="55.5" customHeight="1">
      <c r="A40" s="12" t="s">
        <v>477</v>
      </c>
      <c r="B40" s="11" t="s">
        <v>518</v>
      </c>
      <c r="C40" s="12"/>
      <c r="D40" s="12" t="s">
        <v>522</v>
      </c>
      <c r="E40" s="12" t="s">
        <v>523</v>
      </c>
      <c r="F40" s="12" t="s">
        <v>123</v>
      </c>
      <c r="G40" s="28" t="s">
        <v>282</v>
      </c>
      <c r="H40" s="28"/>
      <c r="I40" s="12"/>
      <c r="J40" s="12"/>
      <c r="K40" s="12"/>
      <c r="L40" s="12"/>
      <c r="M40" s="12" t="s">
        <v>325</v>
      </c>
      <c r="N40" s="12"/>
      <c r="O40" s="12"/>
    </row>
    <row r="41" ht="55.5" customHeight="1">
      <c r="A41" s="29" t="s">
        <v>524</v>
      </c>
      <c r="B41" s="30" t="s">
        <v>525</v>
      </c>
      <c r="C41" s="29" t="s">
        <v>526</v>
      </c>
      <c r="D41" s="29" t="s">
        <v>527</v>
      </c>
      <c r="E41" s="29" t="s">
        <v>528</v>
      </c>
      <c r="F41" s="29" t="s">
        <v>529</v>
      </c>
      <c r="G41" s="31" t="s">
        <v>282</v>
      </c>
      <c r="H41" s="31"/>
      <c r="I41" s="29"/>
      <c r="J41" s="29"/>
      <c r="K41" s="29"/>
      <c r="L41" s="29"/>
      <c r="M41" s="12" t="s">
        <v>325</v>
      </c>
      <c r="N41" s="12"/>
      <c r="O41" s="12"/>
    </row>
    <row r="42" ht="55.5" customHeight="1">
      <c r="A42" s="12" t="s">
        <v>524</v>
      </c>
      <c r="B42" s="11" t="s">
        <v>525</v>
      </c>
      <c r="C42" s="12"/>
      <c r="D42" s="12" t="s">
        <v>530</v>
      </c>
      <c r="E42" s="12" t="s">
        <v>531</v>
      </c>
      <c r="F42" s="12" t="s">
        <v>529</v>
      </c>
      <c r="G42" s="28" t="s">
        <v>282</v>
      </c>
      <c r="H42" s="28"/>
      <c r="I42" s="12"/>
      <c r="J42" s="12"/>
      <c r="K42" s="12"/>
      <c r="L42" s="12"/>
      <c r="M42" s="12" t="s">
        <v>289</v>
      </c>
      <c r="N42" s="12"/>
      <c r="O42" s="12"/>
    </row>
    <row r="43" ht="55.5" customHeight="1">
      <c r="A43" s="29" t="s">
        <v>524</v>
      </c>
      <c r="B43" s="30" t="s">
        <v>525</v>
      </c>
      <c r="C43" s="29"/>
      <c r="D43" s="29" t="s">
        <v>532</v>
      </c>
      <c r="E43" s="29" t="s">
        <v>533</v>
      </c>
      <c r="F43" s="29" t="s">
        <v>529</v>
      </c>
      <c r="G43" s="31" t="s">
        <v>282</v>
      </c>
      <c r="H43" s="31"/>
      <c r="I43" s="29"/>
      <c r="J43" s="29"/>
      <c r="K43" s="29"/>
      <c r="L43" s="29"/>
      <c r="M43" s="12"/>
      <c r="N43" s="12"/>
      <c r="O43" s="12"/>
    </row>
    <row r="44" ht="55.5" customHeight="1">
      <c r="A44" s="12" t="s">
        <v>524</v>
      </c>
      <c r="B44" s="11" t="s">
        <v>534</v>
      </c>
      <c r="C44" s="12" t="s">
        <v>535</v>
      </c>
      <c r="D44" s="12" t="s">
        <v>536</v>
      </c>
      <c r="E44" s="12" t="s">
        <v>537</v>
      </c>
      <c r="F44" s="12" t="s">
        <v>529</v>
      </c>
      <c r="G44" s="28" t="s">
        <v>282</v>
      </c>
      <c r="H44" s="28"/>
      <c r="I44" s="12"/>
      <c r="J44" s="12"/>
      <c r="K44" s="12"/>
      <c r="L44" s="12"/>
      <c r="M44" s="12" t="s">
        <v>343</v>
      </c>
      <c r="N44" s="12"/>
      <c r="O44" s="12"/>
    </row>
    <row r="45" ht="55.5" customHeight="1">
      <c r="A45" s="29" t="s">
        <v>524</v>
      </c>
      <c r="B45" s="30" t="s">
        <v>534</v>
      </c>
      <c r="C45" s="29"/>
      <c r="D45" s="29" t="s">
        <v>538</v>
      </c>
      <c r="E45" s="29" t="s">
        <v>539</v>
      </c>
      <c r="F45" s="29" t="s">
        <v>529</v>
      </c>
      <c r="G45" s="31" t="s">
        <v>282</v>
      </c>
      <c r="H45" s="31"/>
      <c r="I45" s="29"/>
      <c r="J45" s="29"/>
      <c r="K45" s="29"/>
      <c r="L45" s="29"/>
      <c r="M45" s="12" t="s">
        <v>343</v>
      </c>
      <c r="N45" s="12"/>
      <c r="O45" s="12"/>
    </row>
    <row r="46" ht="55.5" customHeight="1">
      <c r="A46" s="12" t="s">
        <v>524</v>
      </c>
      <c r="B46" s="11" t="s">
        <v>534</v>
      </c>
      <c r="C46" s="12"/>
      <c r="D46" s="12" t="s">
        <v>540</v>
      </c>
      <c r="E46" s="12" t="s">
        <v>541</v>
      </c>
      <c r="F46" s="12" t="s">
        <v>529</v>
      </c>
      <c r="G46" s="28" t="s">
        <v>282</v>
      </c>
      <c r="H46" s="28"/>
      <c r="I46" s="12"/>
      <c r="J46" s="12"/>
      <c r="K46" s="12"/>
      <c r="L46" s="12"/>
      <c r="M46" s="12" t="s">
        <v>542</v>
      </c>
      <c r="N46" s="12"/>
      <c r="O46" s="12"/>
    </row>
    <row r="47" ht="55.5" customHeight="1">
      <c r="A47" s="29" t="s">
        <v>524</v>
      </c>
      <c r="B47" s="30" t="s">
        <v>534</v>
      </c>
      <c r="C47" s="29"/>
      <c r="D47" s="29" t="s">
        <v>543</v>
      </c>
      <c r="E47" s="29" t="s">
        <v>544</v>
      </c>
      <c r="F47" s="29" t="s">
        <v>529</v>
      </c>
      <c r="G47" s="31" t="s">
        <v>282</v>
      </c>
      <c r="H47" s="31"/>
      <c r="I47" s="29"/>
      <c r="J47" s="29"/>
      <c r="K47" s="29"/>
      <c r="L47" s="29"/>
      <c r="M47" s="12" t="s">
        <v>545</v>
      </c>
      <c r="N47" s="12"/>
      <c r="O47" s="12"/>
    </row>
    <row r="48" ht="55.5" customHeight="1">
      <c r="A48" s="12" t="s">
        <v>524</v>
      </c>
      <c r="B48" s="11" t="s">
        <v>534</v>
      </c>
      <c r="C48" s="12"/>
      <c r="D48" s="12" t="s">
        <v>546</v>
      </c>
      <c r="E48" s="12" t="s">
        <v>547</v>
      </c>
      <c r="F48" s="12" t="s">
        <v>529</v>
      </c>
      <c r="G48" s="28" t="s">
        <v>282</v>
      </c>
      <c r="H48" s="28"/>
      <c r="I48" s="12"/>
      <c r="J48" s="12"/>
      <c r="K48" s="12"/>
      <c r="L48" s="12"/>
      <c r="M48" s="12" t="s">
        <v>343</v>
      </c>
      <c r="N48" s="12"/>
      <c r="O48" s="12"/>
    </row>
    <row r="49" ht="55.5" customHeight="1">
      <c r="A49" s="29" t="s">
        <v>524</v>
      </c>
      <c r="B49" s="30" t="s">
        <v>534</v>
      </c>
      <c r="C49" s="29"/>
      <c r="D49" s="29" t="s">
        <v>548</v>
      </c>
      <c r="E49" s="29" t="s">
        <v>549</v>
      </c>
      <c r="F49" s="29" t="s">
        <v>529</v>
      </c>
      <c r="G49" s="31" t="s">
        <v>282</v>
      </c>
      <c r="H49" s="31"/>
      <c r="I49" s="29"/>
      <c r="J49" s="29"/>
      <c r="K49" s="29"/>
      <c r="L49" s="29"/>
      <c r="M49" s="12" t="s">
        <v>550</v>
      </c>
      <c r="N49" s="12"/>
      <c r="O49" s="12"/>
    </row>
    <row r="50" ht="55.5" customHeight="1">
      <c r="A50" s="12" t="s">
        <v>524</v>
      </c>
      <c r="B50" s="11" t="s">
        <v>534</v>
      </c>
      <c r="C50" s="12"/>
      <c r="D50" s="12" t="s">
        <v>551</v>
      </c>
      <c r="E50" s="12" t="s">
        <v>552</v>
      </c>
      <c r="F50" s="12" t="s">
        <v>529</v>
      </c>
      <c r="G50" s="28" t="s">
        <v>282</v>
      </c>
      <c r="H50" s="28"/>
      <c r="I50" s="12"/>
      <c r="J50" s="12"/>
      <c r="K50" s="12"/>
      <c r="L50" s="12"/>
      <c r="M50" s="12" t="s">
        <v>550</v>
      </c>
      <c r="N50" s="12"/>
      <c r="O50" s="12"/>
    </row>
    <row r="51" ht="55.5" customHeight="1">
      <c r="A51" s="29" t="s">
        <v>524</v>
      </c>
      <c r="B51" s="30" t="s">
        <v>534</v>
      </c>
      <c r="C51" s="29"/>
      <c r="D51" s="29" t="s">
        <v>553</v>
      </c>
      <c r="E51" s="29" t="s">
        <v>554</v>
      </c>
      <c r="F51" s="29" t="s">
        <v>529</v>
      </c>
      <c r="G51" s="31" t="s">
        <v>282</v>
      </c>
      <c r="H51" s="31"/>
      <c r="I51" s="29"/>
      <c r="J51" s="29"/>
      <c r="K51" s="29"/>
      <c r="L51" s="29"/>
      <c r="M51" s="12" t="s">
        <v>343</v>
      </c>
      <c r="N51" s="12"/>
      <c r="O51" s="12"/>
    </row>
    <row r="52" ht="55.5" customHeight="1">
      <c r="A52" s="12" t="s">
        <v>524</v>
      </c>
      <c r="B52" s="11" t="s">
        <v>534</v>
      </c>
      <c r="C52" s="12"/>
      <c r="D52" s="12" t="s">
        <v>555</v>
      </c>
      <c r="E52" s="12" t="s">
        <v>556</v>
      </c>
      <c r="F52" s="12" t="s">
        <v>529</v>
      </c>
      <c r="G52" s="28" t="s">
        <v>282</v>
      </c>
      <c r="H52" s="28"/>
      <c r="I52" s="12"/>
      <c r="J52" s="12"/>
      <c r="K52" s="12"/>
      <c r="L52" s="12"/>
      <c r="M52" s="12" t="s">
        <v>343</v>
      </c>
      <c r="N52" s="12"/>
      <c r="O52" s="12"/>
    </row>
    <row r="53" ht="55.5" customHeight="1">
      <c r="A53" s="29" t="s">
        <v>524</v>
      </c>
      <c r="B53" s="30" t="s">
        <v>534</v>
      </c>
      <c r="C53" s="29"/>
      <c r="D53" s="29" t="s">
        <v>557</v>
      </c>
      <c r="E53" s="29" t="s">
        <v>558</v>
      </c>
      <c r="F53" s="29" t="s">
        <v>529</v>
      </c>
      <c r="G53" s="31" t="s">
        <v>282</v>
      </c>
      <c r="H53" s="31"/>
      <c r="I53" s="29"/>
      <c r="J53" s="29"/>
      <c r="K53" s="29"/>
      <c r="L53" s="29"/>
      <c r="M53" s="12" t="s">
        <v>343</v>
      </c>
      <c r="N53" s="12"/>
      <c r="O53" s="12"/>
    </row>
    <row r="54" ht="55.5" customHeight="1">
      <c r="A54" s="12" t="s">
        <v>524</v>
      </c>
      <c r="B54" s="11" t="s">
        <v>534</v>
      </c>
      <c r="C54" s="12"/>
      <c r="D54" s="12" t="s">
        <v>559</v>
      </c>
      <c r="E54" s="12" t="s">
        <v>560</v>
      </c>
      <c r="F54" s="12" t="s">
        <v>529</v>
      </c>
      <c r="G54" s="28" t="s">
        <v>282</v>
      </c>
      <c r="H54" s="28"/>
      <c r="I54" s="12"/>
      <c r="J54" s="12"/>
      <c r="K54" s="12"/>
      <c r="L54" s="12"/>
      <c r="M54" s="12" t="s">
        <v>343</v>
      </c>
      <c r="N54" s="12"/>
      <c r="O54" s="12"/>
    </row>
    <row r="55" ht="55.5" customHeight="1">
      <c r="A55" s="29" t="s">
        <v>524</v>
      </c>
      <c r="B55" s="30" t="s">
        <v>534</v>
      </c>
      <c r="C55" s="29"/>
      <c r="D55" s="29" t="s">
        <v>561</v>
      </c>
      <c r="E55" s="29" t="s">
        <v>562</v>
      </c>
      <c r="F55" s="29" t="s">
        <v>529</v>
      </c>
      <c r="G55" s="31" t="s">
        <v>282</v>
      </c>
      <c r="H55" s="31"/>
      <c r="I55" s="29"/>
      <c r="J55" s="29"/>
      <c r="K55" s="29"/>
      <c r="L55" s="29"/>
      <c r="M55" s="12" t="s">
        <v>343</v>
      </c>
      <c r="N55" s="12"/>
      <c r="O55" s="12"/>
    </row>
    <row r="56" ht="55.5" customHeight="1">
      <c r="A56" s="12" t="s">
        <v>524</v>
      </c>
      <c r="B56" s="11" t="s">
        <v>534</v>
      </c>
      <c r="C56" s="12"/>
      <c r="D56" s="12" t="s">
        <v>563</v>
      </c>
      <c r="E56" s="12" t="s">
        <v>564</v>
      </c>
      <c r="F56" s="12" t="s">
        <v>529</v>
      </c>
      <c r="G56" s="28" t="s">
        <v>282</v>
      </c>
      <c r="H56" s="28"/>
      <c r="I56" s="12"/>
      <c r="J56" s="12"/>
      <c r="K56" s="12"/>
      <c r="L56" s="12"/>
      <c r="M56" s="12" t="s">
        <v>343</v>
      </c>
      <c r="N56" s="12"/>
      <c r="O56" s="12"/>
    </row>
    <row r="57" ht="55.5" customHeight="1">
      <c r="A57" s="29" t="s">
        <v>524</v>
      </c>
      <c r="B57" s="30" t="s">
        <v>565</v>
      </c>
      <c r="C57" s="29" t="s">
        <v>566</v>
      </c>
      <c r="D57" s="29" t="s">
        <v>567</v>
      </c>
      <c r="E57" s="29" t="s">
        <v>568</v>
      </c>
      <c r="F57" s="29" t="s">
        <v>529</v>
      </c>
      <c r="G57" s="31" t="s">
        <v>282</v>
      </c>
      <c r="H57" s="31"/>
      <c r="I57" s="29"/>
      <c r="J57" s="29"/>
      <c r="K57" s="29"/>
      <c r="L57" s="29"/>
      <c r="M57" s="12" t="s">
        <v>569</v>
      </c>
      <c r="N57" s="12"/>
      <c r="O57" s="12"/>
    </row>
    <row r="58" ht="55.5" customHeight="1">
      <c r="A58" s="12" t="s">
        <v>524</v>
      </c>
      <c r="B58" s="11" t="s">
        <v>565</v>
      </c>
      <c r="C58" s="12"/>
      <c r="D58" s="12" t="s">
        <v>570</v>
      </c>
      <c r="E58" s="12" t="s">
        <v>571</v>
      </c>
      <c r="F58" s="12" t="s">
        <v>529</v>
      </c>
      <c r="G58" s="28" t="s">
        <v>282</v>
      </c>
      <c r="H58" s="28"/>
      <c r="I58" s="12"/>
      <c r="J58" s="12"/>
      <c r="K58" s="12"/>
      <c r="L58" s="12"/>
      <c r="M58" s="12"/>
      <c r="N58" s="12"/>
      <c r="O58" s="12"/>
    </row>
    <row r="59" ht="55.5" customHeight="1">
      <c r="A59" s="29" t="s">
        <v>524</v>
      </c>
      <c r="B59" s="30" t="s">
        <v>565</v>
      </c>
      <c r="C59" s="29"/>
      <c r="D59" s="29" t="s">
        <v>572</v>
      </c>
      <c r="E59" s="29" t="s">
        <v>573</v>
      </c>
      <c r="F59" s="29" t="s">
        <v>529</v>
      </c>
      <c r="G59" s="31" t="s">
        <v>282</v>
      </c>
      <c r="H59" s="31"/>
      <c r="I59" s="29"/>
      <c r="J59" s="29"/>
      <c r="K59" s="29"/>
      <c r="L59" s="29"/>
      <c r="M59" s="12" t="s">
        <v>391</v>
      </c>
      <c r="N59" s="12"/>
      <c r="O59" s="12"/>
    </row>
    <row r="60" ht="55.5" customHeight="1">
      <c r="A60" s="12" t="s">
        <v>524</v>
      </c>
      <c r="B60" s="11" t="s">
        <v>574</v>
      </c>
      <c r="C60" s="12" t="s">
        <v>575</v>
      </c>
      <c r="D60" s="12" t="s">
        <v>576</v>
      </c>
      <c r="E60" s="12" t="s">
        <v>577</v>
      </c>
      <c r="F60" s="12" t="s">
        <v>529</v>
      </c>
      <c r="G60" s="28" t="s">
        <v>282</v>
      </c>
      <c r="H60" s="28"/>
      <c r="I60" s="12"/>
      <c r="J60" s="12"/>
      <c r="K60" s="12"/>
      <c r="L60" s="12"/>
      <c r="M60" s="12"/>
      <c r="N60" s="12"/>
      <c r="O60" s="12"/>
    </row>
    <row r="61" ht="55.5" customHeight="1">
      <c r="A61" s="29" t="s">
        <v>524</v>
      </c>
      <c r="B61" s="30" t="s">
        <v>574</v>
      </c>
      <c r="C61" s="29"/>
      <c r="D61" s="29" t="s">
        <v>578</v>
      </c>
      <c r="E61" s="29" t="s">
        <v>579</v>
      </c>
      <c r="F61" s="29" t="s">
        <v>529</v>
      </c>
      <c r="G61" s="31" t="s">
        <v>282</v>
      </c>
      <c r="H61" s="31"/>
      <c r="I61" s="29"/>
      <c r="J61" s="29"/>
      <c r="K61" s="29"/>
      <c r="L61" s="29"/>
      <c r="M61" s="12"/>
      <c r="N61" s="12"/>
      <c r="O61" s="12"/>
    </row>
    <row r="62" ht="55.5" customHeight="1">
      <c r="A62" s="12" t="s">
        <v>524</v>
      </c>
      <c r="B62" s="11" t="s">
        <v>574</v>
      </c>
      <c r="C62" s="12"/>
      <c r="D62" s="12" t="s">
        <v>580</v>
      </c>
      <c r="E62" s="12" t="s">
        <v>581</v>
      </c>
      <c r="F62" s="12" t="s">
        <v>529</v>
      </c>
      <c r="G62" s="28" t="s">
        <v>282</v>
      </c>
      <c r="H62" s="28"/>
      <c r="I62" s="12"/>
      <c r="J62" s="12"/>
      <c r="K62" s="12"/>
      <c r="L62" s="12"/>
      <c r="M62" s="12"/>
      <c r="N62" s="12"/>
      <c r="O62" s="12"/>
    </row>
    <row r="63" ht="55.5" customHeight="1">
      <c r="A63" s="29" t="s">
        <v>582</v>
      </c>
      <c r="B63" s="30" t="s">
        <v>583</v>
      </c>
      <c r="C63" s="29" t="s">
        <v>584</v>
      </c>
      <c r="D63" s="29" t="s">
        <v>585</v>
      </c>
      <c r="E63" s="29" t="s">
        <v>586</v>
      </c>
      <c r="F63" s="29" t="s">
        <v>123</v>
      </c>
      <c r="G63" s="31" t="s">
        <v>282</v>
      </c>
      <c r="H63" s="31"/>
      <c r="I63" s="29"/>
      <c r="J63" s="29"/>
      <c r="K63" s="29"/>
      <c r="L63" s="29"/>
      <c r="M63" s="12" t="s">
        <v>587</v>
      </c>
      <c r="N63" s="12"/>
      <c r="O63" s="12"/>
    </row>
    <row r="64" ht="55.5" customHeight="1">
      <c r="A64" s="12" t="s">
        <v>582</v>
      </c>
      <c r="B64" s="11" t="s">
        <v>583</v>
      </c>
      <c r="C64" s="12"/>
      <c r="D64" s="12" t="s">
        <v>588</v>
      </c>
      <c r="E64" s="12" t="s">
        <v>589</v>
      </c>
      <c r="F64" s="12" t="s">
        <v>123</v>
      </c>
      <c r="G64" s="28" t="s">
        <v>282</v>
      </c>
      <c r="H64" s="28"/>
      <c r="I64" s="12"/>
      <c r="J64" s="12"/>
      <c r="K64" s="12"/>
      <c r="L64" s="12"/>
      <c r="M64" s="12" t="s">
        <v>590</v>
      </c>
      <c r="N64" s="12"/>
      <c r="O64" s="12"/>
    </row>
    <row r="65" ht="55.5" customHeight="1">
      <c r="A65" s="29" t="s">
        <v>582</v>
      </c>
      <c r="B65" s="30" t="s">
        <v>583</v>
      </c>
      <c r="C65" s="29"/>
      <c r="D65" s="29" t="s">
        <v>591</v>
      </c>
      <c r="E65" s="29" t="s">
        <v>592</v>
      </c>
      <c r="F65" s="29" t="s">
        <v>123</v>
      </c>
      <c r="G65" s="31" t="s">
        <v>282</v>
      </c>
      <c r="H65" s="31"/>
      <c r="I65" s="29"/>
      <c r="J65" s="29"/>
      <c r="K65" s="29"/>
      <c r="L65" s="29"/>
      <c r="M65" s="12" t="s">
        <v>590</v>
      </c>
      <c r="N65" s="12"/>
      <c r="O65" s="12"/>
    </row>
    <row r="66" ht="55.5" customHeight="1">
      <c r="A66" s="12" t="s">
        <v>582</v>
      </c>
      <c r="B66" s="11" t="s">
        <v>583</v>
      </c>
      <c r="C66" s="12"/>
      <c r="D66" s="12" t="s">
        <v>593</v>
      </c>
      <c r="E66" s="12" t="s">
        <v>594</v>
      </c>
      <c r="F66" s="12" t="s">
        <v>123</v>
      </c>
      <c r="G66" s="28" t="s">
        <v>282</v>
      </c>
      <c r="H66" s="28"/>
      <c r="I66" s="12"/>
      <c r="J66" s="12"/>
      <c r="K66" s="12"/>
      <c r="L66" s="12"/>
      <c r="M66" s="12" t="s">
        <v>590</v>
      </c>
      <c r="N66" s="12"/>
      <c r="O66" s="12"/>
    </row>
    <row r="67" ht="55.5" customHeight="1">
      <c r="A67" s="29" t="s">
        <v>582</v>
      </c>
      <c r="B67" s="30" t="s">
        <v>595</v>
      </c>
      <c r="C67" s="29" t="s">
        <v>596</v>
      </c>
      <c r="D67" s="29" t="s">
        <v>597</v>
      </c>
      <c r="E67" s="29" t="s">
        <v>598</v>
      </c>
      <c r="F67" s="29" t="s">
        <v>123</v>
      </c>
      <c r="G67" s="31" t="s">
        <v>282</v>
      </c>
      <c r="H67" s="31"/>
      <c r="I67" s="29"/>
      <c r="J67" s="29"/>
      <c r="K67" s="29"/>
      <c r="L67" s="29"/>
      <c r="M67" s="12"/>
      <c r="N67" s="12"/>
      <c r="O67" s="12"/>
    </row>
    <row r="68" ht="55.5" customHeight="1">
      <c r="A68" s="12" t="s">
        <v>582</v>
      </c>
      <c r="B68" s="11" t="s">
        <v>595</v>
      </c>
      <c r="C68" s="12"/>
      <c r="D68" s="12" t="s">
        <v>599</v>
      </c>
      <c r="E68" s="12" t="s">
        <v>600</v>
      </c>
      <c r="F68" s="12" t="s">
        <v>123</v>
      </c>
      <c r="G68" s="28" t="s">
        <v>282</v>
      </c>
      <c r="H68" s="28"/>
      <c r="I68" s="12"/>
      <c r="J68" s="12"/>
      <c r="K68" s="12"/>
      <c r="L68" s="12"/>
      <c r="M68" s="12"/>
      <c r="N68" s="12"/>
      <c r="O68" s="12"/>
    </row>
    <row r="69" ht="55.5" customHeight="1">
      <c r="A69" s="29" t="s">
        <v>582</v>
      </c>
      <c r="B69" s="30" t="s">
        <v>595</v>
      </c>
      <c r="C69" s="29"/>
      <c r="D69" s="29" t="s">
        <v>601</v>
      </c>
      <c r="E69" s="29" t="s">
        <v>602</v>
      </c>
      <c r="F69" s="29" t="s">
        <v>123</v>
      </c>
      <c r="G69" s="31" t="s">
        <v>282</v>
      </c>
      <c r="H69" s="31"/>
      <c r="I69" s="29"/>
      <c r="J69" s="29"/>
      <c r="K69" s="29"/>
      <c r="L69" s="29"/>
      <c r="M69" s="12" t="s">
        <v>297</v>
      </c>
      <c r="N69" s="12"/>
      <c r="O69" s="12"/>
    </row>
    <row r="70" ht="55.5" customHeight="1">
      <c r="A70" s="12" t="s">
        <v>582</v>
      </c>
      <c r="B70" s="11" t="s">
        <v>595</v>
      </c>
      <c r="C70" s="12"/>
      <c r="D70" s="12" t="s">
        <v>603</v>
      </c>
      <c r="E70" s="12" t="s">
        <v>604</v>
      </c>
      <c r="F70" s="12" t="s">
        <v>123</v>
      </c>
      <c r="G70" s="28" t="s">
        <v>282</v>
      </c>
      <c r="H70" s="28"/>
      <c r="I70" s="12"/>
      <c r="J70" s="12"/>
      <c r="K70" s="12"/>
      <c r="L70" s="12"/>
      <c r="M70" s="12" t="s">
        <v>605</v>
      </c>
      <c r="N70" s="12"/>
      <c r="O70" s="12"/>
    </row>
    <row r="71" ht="55.5" customHeight="1">
      <c r="A71" s="29" t="s">
        <v>582</v>
      </c>
      <c r="B71" s="30" t="s">
        <v>606</v>
      </c>
      <c r="C71" s="29" t="s">
        <v>607</v>
      </c>
      <c r="D71" s="29" t="s">
        <v>608</v>
      </c>
      <c r="E71" s="29" t="s">
        <v>609</v>
      </c>
      <c r="F71" s="29" t="s">
        <v>123</v>
      </c>
      <c r="G71" s="31" t="s">
        <v>282</v>
      </c>
      <c r="H71" s="31"/>
      <c r="I71" s="29"/>
      <c r="J71" s="29"/>
      <c r="K71" s="29"/>
      <c r="L71" s="29"/>
      <c r="M71" s="12" t="s">
        <v>411</v>
      </c>
      <c r="N71" s="12"/>
      <c r="O71" s="12"/>
    </row>
    <row r="72" ht="55.5" customHeight="1">
      <c r="A72" s="12" t="s">
        <v>582</v>
      </c>
      <c r="B72" s="11" t="s">
        <v>606</v>
      </c>
      <c r="C72" s="12"/>
      <c r="D72" s="12" t="s">
        <v>610</v>
      </c>
      <c r="E72" s="12" t="s">
        <v>611</v>
      </c>
      <c r="F72" s="12" t="s">
        <v>123</v>
      </c>
      <c r="G72" s="28" t="s">
        <v>282</v>
      </c>
      <c r="H72" s="28"/>
      <c r="I72" s="12"/>
      <c r="J72" s="12"/>
      <c r="K72" s="12"/>
      <c r="L72" s="12"/>
      <c r="M72" s="12" t="s">
        <v>411</v>
      </c>
      <c r="N72" s="12"/>
      <c r="O72" s="12"/>
    </row>
    <row r="73" ht="55.5" customHeight="1">
      <c r="A73" s="29" t="s">
        <v>582</v>
      </c>
      <c r="B73" s="30" t="s">
        <v>612</v>
      </c>
      <c r="C73" s="29" t="s">
        <v>613</v>
      </c>
      <c r="D73" s="29" t="s">
        <v>614</v>
      </c>
      <c r="E73" s="29" t="s">
        <v>615</v>
      </c>
      <c r="F73" s="29" t="s">
        <v>123</v>
      </c>
      <c r="G73" s="31" t="s">
        <v>282</v>
      </c>
      <c r="H73" s="31"/>
      <c r="I73" s="29"/>
      <c r="J73" s="29"/>
      <c r="K73" s="29"/>
      <c r="L73" s="29"/>
      <c r="M73" s="12" t="s">
        <v>569</v>
      </c>
      <c r="N73" s="12"/>
      <c r="O73" s="12"/>
    </row>
    <row r="74" ht="55.5" customHeight="1">
      <c r="A74" s="12" t="s">
        <v>582</v>
      </c>
      <c r="B74" s="11" t="s">
        <v>612</v>
      </c>
      <c r="C74" s="12"/>
      <c r="D74" s="12" t="s">
        <v>616</v>
      </c>
      <c r="E74" s="12" t="s">
        <v>617</v>
      </c>
      <c r="F74" s="12" t="s">
        <v>123</v>
      </c>
      <c r="G74" s="28" t="s">
        <v>282</v>
      </c>
      <c r="H74" s="28"/>
      <c r="I74" s="12"/>
      <c r="J74" s="12"/>
      <c r="K74" s="12"/>
      <c r="L74" s="12"/>
      <c r="M74" s="12" t="s">
        <v>289</v>
      </c>
      <c r="N74" s="12"/>
      <c r="O74" s="12"/>
    </row>
    <row r="75" ht="55.5" customHeight="1">
      <c r="A75" s="29" t="s">
        <v>582</v>
      </c>
      <c r="B75" s="30" t="s">
        <v>612</v>
      </c>
      <c r="C75" s="29"/>
      <c r="D75" s="29" t="s">
        <v>618</v>
      </c>
      <c r="E75" s="29" t="s">
        <v>619</v>
      </c>
      <c r="F75" s="29" t="s">
        <v>123</v>
      </c>
      <c r="G75" s="31" t="s">
        <v>282</v>
      </c>
      <c r="H75" s="31"/>
      <c r="I75" s="29"/>
      <c r="J75" s="29"/>
      <c r="K75" s="29"/>
      <c r="L75" s="29"/>
      <c r="M75" s="12" t="s">
        <v>297</v>
      </c>
      <c r="N75" s="12"/>
      <c r="O75" s="12"/>
    </row>
  </sheetData>
  <autoFilter ref="A3:O75"/>
  <mergeCells count="1">
    <mergeCell ref="A1:E1"/>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CCE6A557-97BC-4b89-ADB6-D9C93CAAB3DF}">
      <x14:dataValidations xmlns:xm="http://schemas.microsoft.com/office/excel/2006/main" count="2" disablePrompts="0">
        <x14:dataValidation xr:uid="{B8EEC9D4-4FCC-4303-BC7F-DC3D89ACD7E0}" type="list" allowBlank="1" errorStyle="stop" imeMode="noControl" operator="between" showDropDown="0" showErrorMessage="0" showInputMessage="0">
          <x14:formula1>
            <xm:f>"Not tested,Adequate,Partially adequate,Inadequate,Not applicable"</xm:f>
          </x14:formula1>
          <x14:formula2>
            <xm:f>0</xm:f>
          </x14:formula2>
          <xm:sqref>N4:N75</xm:sqref>
        </x14:dataValidation>
        <x14:dataValidation xr:uid="{28BAC0E1-2215-40D7-A625-A0FB247C8B29}" type="list" allowBlank="1" errorStyle="stop" imeMode="noControl" operator="between" showDropDown="0" showErrorMessage="0" showInputMessage="0">
          <x14:formula1>
            <xm:f>"Not tested,Effective,Partially effective,Ineffective,Not applicable"</xm:f>
          </x14:formula1>
          <x14:formula2>
            <xm:f>0</xm:f>
          </x14:formula2>
          <xm:sqref>O4:O75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pane ySplit="3" topLeftCell="A4" activePane="bottomLeft" state="frozen"/>
      <selection activeCell="G1" activeCellId="0" sqref="G1"/>
    </sheetView>
  </sheetViews>
  <sheetFormatPr defaultColWidth="8.6796875" defaultRowHeight="14.25"/>
  <cols>
    <col customWidth="1" min="1" max="1" style="1" width="24"/>
    <col customWidth="1" min="2" max="2" style="1" width="8"/>
    <col customWidth="1" min="3" max="3" style="1" width="40"/>
    <col customWidth="1" min="4" max="5" style="1" width="22"/>
    <col customWidth="1" min="6" max="6" style="1" width="32"/>
    <col customWidth="1" min="7" max="7" style="1" width="24"/>
    <col customWidth="1" min="8" max="8" style="1" width="18"/>
    <col customWidth="1" min="9" max="9" style="1" width="14.140000000000001"/>
    <col customWidth="1" min="10" max="10" style="1" width="26"/>
    <col customWidth="1" min="11" max="12" style="1" width="13"/>
    <col customWidth="1" min="13" max="13" style="1" width="30"/>
    <col customWidth="1" min="14" max="14" style="1" width="16"/>
    <col customWidth="1" min="15" max="15" width="16.00390625"/>
    <col customWidth="1" min="16" max="16" style="1" width="24"/>
    <col customWidth="1" min="17" max="17" style="1" width="30"/>
    <col min="18" max="18" width="26" customWidth="1"/>
  </cols>
  <sheetData>
    <row r="1" ht="15.75" customHeight="1">
      <c r="A1" s="9" t="s">
        <v>620</v>
      </c>
      <c r="B1" s="9"/>
      <c r="C1" s="9"/>
      <c r="D1" s="9"/>
      <c r="E1" s="9"/>
      <c r="F1" s="9"/>
    </row>
    <row r="3" ht="38.25">
      <c r="A3" s="33" t="s">
        <v>621</v>
      </c>
      <c r="B3" s="33" t="s">
        <v>622</v>
      </c>
      <c r="C3" s="33" t="s">
        <v>623</v>
      </c>
      <c r="D3" s="33" t="s">
        <v>624</v>
      </c>
      <c r="E3" s="33" t="s">
        <v>625</v>
      </c>
      <c r="F3" s="33" t="s">
        <v>626</v>
      </c>
      <c r="G3" s="33" t="s">
        <v>269</v>
      </c>
      <c r="H3" s="33" t="s">
        <v>270</v>
      </c>
      <c r="I3" s="33" t="s">
        <v>271</v>
      </c>
      <c r="J3" s="33" t="s">
        <v>272</v>
      </c>
      <c r="K3" s="33" t="s">
        <v>273</v>
      </c>
      <c r="L3" s="33" t="s">
        <v>274</v>
      </c>
      <c r="M3" s="33" t="s">
        <v>275</v>
      </c>
      <c r="N3" s="33" t="s">
        <v>276</v>
      </c>
      <c r="O3" s="33" t="s">
        <v>627</v>
      </c>
      <c r="P3" s="33" t="inlineStr">
        <is>
          <t>Test of Design</t>
        </is>
      </c>
      <c r="Q3" s="33" t="inlineStr">
        <is>
          <t>Test of Operating Effectiveness</t>
        </is>
      </c>
      <c r="R3" s="33" t="inlineStr">
        <is>
          <t xml:space="preserve">Linked CSA PA</t>
        </is>
      </c>
    </row>
    <row r="4" ht="55.5" customHeight="1">
      <c r="A4" s="12" t="s">
        <v>628</v>
      </c>
      <c r="B4" s="11" t="s">
        <v>629</v>
      </c>
      <c r="C4" s="12" t="s">
        <v>630</v>
      </c>
      <c r="D4" s="12" t="s">
        <v>631</v>
      </c>
      <c r="E4" s="12" t="s">
        <v>632</v>
      </c>
      <c r="F4" s="12" t="s">
        <v>633</v>
      </c>
      <c r="G4" s="12" t="s">
        <v>429</v>
      </c>
      <c r="H4" s="28" t="s">
        <v>282</v>
      </c>
      <c r="I4" s="28"/>
      <c r="J4" s="12" t="s">
        <v>634</v>
      </c>
      <c r="K4" s="12"/>
      <c r="L4" s="12"/>
      <c r="M4" s="12"/>
      <c r="N4" s="12"/>
      <c r="O4" s="12" t="s">
        <v>635</v>
      </c>
      <c r="P4" s="12"/>
      <c r="Q4" s="12"/>
      <c r="R4" s="12" t="inlineStr">
        <is>
          <t xml:space="preserve">PA 2, PA 6</t>
        </is>
      </c>
    </row>
    <row r="5" ht="55.5" customHeight="1">
      <c r="A5" s="29" t="s">
        <v>628</v>
      </c>
      <c r="B5" s="30" t="s">
        <v>636</v>
      </c>
      <c r="C5" s="29" t="s">
        <v>637</v>
      </c>
      <c r="D5" s="29" t="s">
        <v>638</v>
      </c>
      <c r="E5" s="29" t="s">
        <v>639</v>
      </c>
      <c r="F5" s="29" t="s">
        <v>640</v>
      </c>
      <c r="G5" s="29" t="s">
        <v>429</v>
      </c>
      <c r="H5" s="31" t="s">
        <v>282</v>
      </c>
      <c r="I5" s="31"/>
      <c r="J5" s="29" t="s">
        <v>641</v>
      </c>
      <c r="K5" s="29"/>
      <c r="L5" s="29"/>
      <c r="M5" s="29" t="s">
        <v>642</v>
      </c>
      <c r="N5" s="12"/>
      <c r="O5" s="12"/>
      <c r="P5" s="12"/>
      <c r="Q5" s="12"/>
      <c r="R5" s="12" t="inlineStr">
        <is>
          <t xml:space="preserve">PA 2</t>
        </is>
      </c>
    </row>
    <row r="6" ht="55.5" customHeight="1">
      <c r="A6" s="12" t="s">
        <v>628</v>
      </c>
      <c r="B6" s="11" t="s">
        <v>643</v>
      </c>
      <c r="C6" s="12" t="s">
        <v>644</v>
      </c>
      <c r="D6" s="12" t="s">
        <v>645</v>
      </c>
      <c r="E6" s="12" t="s">
        <v>291</v>
      </c>
      <c r="F6" s="12" t="s">
        <v>646</v>
      </c>
      <c r="G6" s="12" t="s">
        <v>429</v>
      </c>
      <c r="H6" s="28" t="s">
        <v>282</v>
      </c>
      <c r="I6" s="28"/>
      <c r="J6" s="12" t="s">
        <v>647</v>
      </c>
      <c r="K6" s="12"/>
      <c r="L6" s="12"/>
      <c r="M6" s="12"/>
      <c r="N6" s="12"/>
      <c r="O6" s="12"/>
      <c r="P6" s="12"/>
      <c r="Q6" s="12"/>
      <c r="R6" s="12" t="inlineStr">
        <is>
          <t xml:space="preserve">PA 4</t>
        </is>
      </c>
    </row>
    <row r="7" ht="55.5" customHeight="1">
      <c r="A7" s="29" t="s">
        <v>628</v>
      </c>
      <c r="B7" s="30" t="s">
        <v>648</v>
      </c>
      <c r="C7" s="29" t="s">
        <v>649</v>
      </c>
      <c r="D7" s="29" t="s">
        <v>650</v>
      </c>
      <c r="E7" s="29" t="s">
        <v>318</v>
      </c>
      <c r="F7" s="29" t="s">
        <v>651</v>
      </c>
      <c r="G7" s="29" t="s">
        <v>429</v>
      </c>
      <c r="H7" s="31" t="s">
        <v>282</v>
      </c>
      <c r="I7" s="31"/>
      <c r="J7" s="29" t="s">
        <v>652</v>
      </c>
      <c r="K7" s="29"/>
      <c r="L7" s="29"/>
      <c r="M7" s="29"/>
      <c r="N7" s="12"/>
      <c r="O7" s="12"/>
      <c r="P7" s="12"/>
      <c r="Q7" s="12"/>
      <c r="R7" s="12" t="inlineStr">
        <is>
          <t xml:space="preserve">PA 4</t>
        </is>
      </c>
    </row>
    <row r="8" ht="55.5" customHeight="1">
      <c r="A8" s="12" t="s">
        <v>628</v>
      </c>
      <c r="B8" s="11" t="s">
        <v>653</v>
      </c>
      <c r="C8" s="12" t="s">
        <v>654</v>
      </c>
      <c r="D8" s="12" t="s">
        <v>631</v>
      </c>
      <c r="E8" s="12" t="s">
        <v>655</v>
      </c>
      <c r="F8" s="12" t="s">
        <v>656</v>
      </c>
      <c r="G8" s="12" t="s">
        <v>429</v>
      </c>
      <c r="H8" s="28" t="s">
        <v>282</v>
      </c>
      <c r="I8" s="28"/>
      <c r="J8" s="12" t="s">
        <v>657</v>
      </c>
      <c r="K8" s="12"/>
      <c r="L8" s="12"/>
      <c r="M8" s="12"/>
      <c r="N8" s="12" t="s">
        <v>316</v>
      </c>
      <c r="O8" s="12" t="s">
        <v>658</v>
      </c>
      <c r="P8" s="12"/>
      <c r="Q8" s="12"/>
      <c r="R8" s="12" t="inlineStr">
        <is>
          <t xml:space="preserve">PA 2</t>
        </is>
      </c>
    </row>
    <row r="9" ht="55.5" customHeight="1">
      <c r="A9" s="29" t="s">
        <v>659</v>
      </c>
      <c r="B9" s="30" t="s">
        <v>660</v>
      </c>
      <c r="C9" s="29" t="s">
        <v>661</v>
      </c>
      <c r="D9" s="29" t="s">
        <v>645</v>
      </c>
      <c r="E9" s="29" t="s">
        <v>299</v>
      </c>
      <c r="F9" s="29" t="s">
        <v>662</v>
      </c>
      <c r="G9" s="29" t="s">
        <v>110</v>
      </c>
      <c r="H9" s="31" t="s">
        <v>282</v>
      </c>
      <c r="I9" s="31"/>
      <c r="J9" s="29" t="s">
        <v>663</v>
      </c>
      <c r="K9" s="29"/>
      <c r="L9" s="29"/>
      <c r="M9" s="29"/>
      <c r="N9" s="12" t="s">
        <v>303</v>
      </c>
      <c r="O9" s="12"/>
      <c r="P9" s="12"/>
      <c r="Q9" s="12"/>
      <c r="R9" s="12" t="inlineStr">
        <is>
          <t xml:space="preserve">PA 2, PA 7</t>
        </is>
      </c>
    </row>
    <row r="10" ht="55.5" customHeight="1">
      <c r="A10" s="12" t="s">
        <v>659</v>
      </c>
      <c r="B10" s="11" t="s">
        <v>664</v>
      </c>
      <c r="C10" s="12" t="s">
        <v>665</v>
      </c>
      <c r="D10" s="12" t="s">
        <v>645</v>
      </c>
      <c r="E10" s="12" t="s">
        <v>666</v>
      </c>
      <c r="F10" s="12" t="s">
        <v>438</v>
      </c>
      <c r="G10" s="12" t="s">
        <v>110</v>
      </c>
      <c r="H10" s="28" t="s">
        <v>282</v>
      </c>
      <c r="I10" s="28"/>
      <c r="J10" s="12" t="s">
        <v>667</v>
      </c>
      <c r="K10" s="12"/>
      <c r="L10" s="12"/>
      <c r="M10" s="12"/>
      <c r="N10" s="12" t="s">
        <v>303</v>
      </c>
      <c r="O10" s="12"/>
      <c r="P10" s="12"/>
      <c r="Q10" s="12"/>
      <c r="R10" s="12" t="inlineStr">
        <is>
          <t xml:space="preserve">PA 2, PA 7</t>
        </is>
      </c>
    </row>
    <row r="11" ht="55.5" customHeight="1">
      <c r="A11" s="29" t="s">
        <v>659</v>
      </c>
      <c r="B11" s="30" t="s">
        <v>668</v>
      </c>
      <c r="C11" s="29" t="s">
        <v>669</v>
      </c>
      <c r="D11" s="29" t="s">
        <v>645</v>
      </c>
      <c r="E11" s="29" t="s">
        <v>670</v>
      </c>
      <c r="F11" s="29" t="s">
        <v>671</v>
      </c>
      <c r="G11" s="29" t="s">
        <v>110</v>
      </c>
      <c r="H11" s="31" t="s">
        <v>282</v>
      </c>
      <c r="I11" s="31"/>
      <c r="J11" s="29" t="s">
        <v>672</v>
      </c>
      <c r="K11" s="29"/>
      <c r="L11" s="29"/>
      <c r="M11" s="29"/>
      <c r="N11" s="12" t="s">
        <v>673</v>
      </c>
      <c r="O11" s="12" t="s">
        <v>674</v>
      </c>
      <c r="P11" s="12"/>
      <c r="Q11" s="12"/>
      <c r="R11" s="12" t="inlineStr">
        <is>
          <t xml:space="preserve">PA 6</t>
        </is>
      </c>
    </row>
    <row r="12" ht="55.5" customHeight="1">
      <c r="A12" s="12" t="s">
        <v>659</v>
      </c>
      <c r="B12" s="11" t="s">
        <v>675</v>
      </c>
      <c r="C12" s="12" t="s">
        <v>676</v>
      </c>
      <c r="D12" s="12" t="s">
        <v>650</v>
      </c>
      <c r="E12" s="12" t="s">
        <v>677</v>
      </c>
      <c r="F12" s="12" t="s">
        <v>678</v>
      </c>
      <c r="G12" s="12" t="s">
        <v>110</v>
      </c>
      <c r="H12" s="28" t="s">
        <v>282</v>
      </c>
      <c r="I12" s="28"/>
      <c r="J12" s="12" t="s">
        <v>679</v>
      </c>
      <c r="K12" s="12"/>
      <c r="L12" s="12"/>
      <c r="M12" s="12"/>
      <c r="N12" s="12" t="s">
        <v>325</v>
      </c>
      <c r="O12" s="12"/>
      <c r="P12" s="12"/>
      <c r="Q12" s="12"/>
      <c r="R12" s="12" t="inlineStr">
        <is>
          <t xml:space="preserve">PA 6</t>
        </is>
      </c>
    </row>
    <row r="13" ht="55.5" customHeight="1">
      <c r="A13" s="29" t="s">
        <v>680</v>
      </c>
      <c r="B13" s="30" t="s">
        <v>681</v>
      </c>
      <c r="C13" s="29" t="s">
        <v>682</v>
      </c>
      <c r="D13" s="29" t="s">
        <v>645</v>
      </c>
      <c r="E13" s="29" t="s">
        <v>683</v>
      </c>
      <c r="F13" s="29" t="s">
        <v>684</v>
      </c>
      <c r="G13" s="29" t="s">
        <v>156</v>
      </c>
      <c r="H13" s="31" t="s">
        <v>282</v>
      </c>
      <c r="I13" s="31"/>
      <c r="J13" s="29" t="s">
        <v>685</v>
      </c>
      <c r="K13" s="29"/>
      <c r="L13" s="29"/>
      <c r="M13" s="29"/>
      <c r="N13" s="12" t="s">
        <v>343</v>
      </c>
      <c r="O13" s="12"/>
      <c r="P13" s="12"/>
      <c r="Q13" s="12"/>
      <c r="R13" s="12" t="inlineStr">
        <is>
          <t xml:space="preserve">—</t>
        </is>
      </c>
    </row>
    <row r="14" ht="55.5" customHeight="1">
      <c r="A14" s="12" t="s">
        <v>680</v>
      </c>
      <c r="B14" s="11" t="s">
        <v>686</v>
      </c>
      <c r="C14" s="12" t="s">
        <v>687</v>
      </c>
      <c r="D14" s="12" t="s">
        <v>638</v>
      </c>
      <c r="E14" s="12" t="s">
        <v>688</v>
      </c>
      <c r="F14" s="12" t="s">
        <v>559</v>
      </c>
      <c r="G14" s="12" t="s">
        <v>156</v>
      </c>
      <c r="H14" s="28" t="s">
        <v>282</v>
      </c>
      <c r="I14" s="28"/>
      <c r="J14" s="12" t="s">
        <v>689</v>
      </c>
      <c r="K14" s="12"/>
      <c r="L14" s="12"/>
      <c r="M14" s="29" t="s">
        <v>642</v>
      </c>
      <c r="N14" s="12" t="s">
        <v>325</v>
      </c>
      <c r="O14" s="12"/>
      <c r="P14" s="12"/>
      <c r="Q14" s="12"/>
      <c r="R14" s="12" t="inlineStr">
        <is>
          <t xml:space="preserve">—</t>
        </is>
      </c>
    </row>
    <row r="15" ht="55.5" customHeight="1">
      <c r="A15" s="29" t="s">
        <v>680</v>
      </c>
      <c r="B15" s="30" t="s">
        <v>690</v>
      </c>
      <c r="C15" s="29" t="s">
        <v>691</v>
      </c>
      <c r="D15" s="29" t="s">
        <v>638</v>
      </c>
      <c r="E15" s="29" t="s">
        <v>692</v>
      </c>
      <c r="F15" s="29" t="s">
        <v>693</v>
      </c>
      <c r="G15" s="29" t="s">
        <v>156</v>
      </c>
      <c r="H15" s="31" t="s">
        <v>282</v>
      </c>
      <c r="I15" s="31"/>
      <c r="J15" s="29" t="s">
        <v>694</v>
      </c>
      <c r="K15" s="29"/>
      <c r="L15" s="29"/>
      <c r="M15" s="29" t="s">
        <v>642</v>
      </c>
      <c r="N15" s="12" t="s">
        <v>343</v>
      </c>
      <c r="O15" s="12" t="s">
        <v>695</v>
      </c>
      <c r="P15" s="12"/>
      <c r="Q15" s="12"/>
      <c r="R15" s="12" t="inlineStr">
        <is>
          <t xml:space="preserve">—</t>
        </is>
      </c>
    </row>
    <row r="16" ht="55.5" customHeight="1">
      <c r="A16" s="12" t="s">
        <v>680</v>
      </c>
      <c r="B16" s="11" t="s">
        <v>696</v>
      </c>
      <c r="C16" s="12" t="s">
        <v>697</v>
      </c>
      <c r="D16" s="12" t="s">
        <v>650</v>
      </c>
      <c r="E16" s="12" t="s">
        <v>698</v>
      </c>
      <c r="F16" s="12" t="s">
        <v>699</v>
      </c>
      <c r="G16" s="12" t="s">
        <v>156</v>
      </c>
      <c r="H16" s="28" t="s">
        <v>282</v>
      </c>
      <c r="I16" s="28"/>
      <c r="J16" s="12" t="s">
        <v>700</v>
      </c>
      <c r="K16" s="12"/>
      <c r="L16" s="12"/>
      <c r="M16" s="12"/>
      <c r="N16" s="12" t="s">
        <v>354</v>
      </c>
      <c r="O16" s="12" t="s">
        <v>701</v>
      </c>
      <c r="P16" s="12"/>
      <c r="Q16" s="12"/>
      <c r="R16" s="12" t="inlineStr">
        <is>
          <t xml:space="preserve">—</t>
        </is>
      </c>
    </row>
    <row r="17" ht="55.5" customHeight="1">
      <c r="A17" s="29" t="s">
        <v>680</v>
      </c>
      <c r="B17" s="30" t="s">
        <v>702</v>
      </c>
      <c r="C17" s="29" t="s">
        <v>703</v>
      </c>
      <c r="D17" s="29" t="s">
        <v>645</v>
      </c>
      <c r="E17" s="29" t="s">
        <v>704</v>
      </c>
      <c r="F17" s="29" t="s">
        <v>705</v>
      </c>
      <c r="G17" s="29" t="s">
        <v>156</v>
      </c>
      <c r="H17" s="31" t="s">
        <v>282</v>
      </c>
      <c r="I17" s="31"/>
      <c r="J17" s="29" t="s">
        <v>706</v>
      </c>
      <c r="K17" s="29"/>
      <c r="L17" s="29"/>
      <c r="M17" s="29" t="s">
        <v>642</v>
      </c>
      <c r="N17" s="12" t="s">
        <v>343</v>
      </c>
      <c r="O17" s="12" t="s">
        <v>707</v>
      </c>
      <c r="P17" s="12"/>
      <c r="Q17" s="12"/>
      <c r="R17" s="12" t="inlineStr">
        <is>
          <t xml:space="preserve">—</t>
        </is>
      </c>
    </row>
    <row r="18" ht="55.5" customHeight="1">
      <c r="A18" s="12" t="s">
        <v>680</v>
      </c>
      <c r="B18" s="11" t="s">
        <v>708</v>
      </c>
      <c r="C18" s="12" t="s">
        <v>709</v>
      </c>
      <c r="D18" s="12" t="s">
        <v>645</v>
      </c>
      <c r="E18" s="12" t="s">
        <v>347</v>
      </c>
      <c r="F18" s="12" t="s">
        <v>710</v>
      </c>
      <c r="G18" s="12" t="s">
        <v>156</v>
      </c>
      <c r="H18" s="28" t="s">
        <v>282</v>
      </c>
      <c r="I18" s="28"/>
      <c r="J18" s="12" t="s">
        <v>711</v>
      </c>
      <c r="K18" s="12"/>
      <c r="L18" s="12"/>
      <c r="M18" s="12"/>
      <c r="N18" s="12" t="s">
        <v>550</v>
      </c>
      <c r="O18" s="12" t="s">
        <v>712</v>
      </c>
      <c r="P18" s="12"/>
      <c r="Q18" s="12"/>
      <c r="R18" s="12" t="inlineStr">
        <is>
          <t xml:space="preserve">PA 1, PA 11</t>
        </is>
      </c>
    </row>
    <row r="19" ht="55.5" customHeight="1">
      <c r="A19" s="29" t="s">
        <v>680</v>
      </c>
      <c r="B19" s="30" t="s">
        <v>713</v>
      </c>
      <c r="C19" s="29" t="s">
        <v>714</v>
      </c>
      <c r="D19" s="29" t="s">
        <v>650</v>
      </c>
      <c r="E19" s="29" t="s">
        <v>715</v>
      </c>
      <c r="F19" s="29" t="s">
        <v>551</v>
      </c>
      <c r="G19" s="29" t="s">
        <v>156</v>
      </c>
      <c r="H19" s="31" t="s">
        <v>282</v>
      </c>
      <c r="I19" s="31"/>
      <c r="J19" s="29" t="s">
        <v>716</v>
      </c>
      <c r="K19" s="29"/>
      <c r="L19" s="29"/>
      <c r="M19" s="29"/>
      <c r="N19" s="12" t="s">
        <v>343</v>
      </c>
      <c r="O19" s="12" t="s">
        <v>717</v>
      </c>
      <c r="P19" s="12"/>
      <c r="Q19" s="12"/>
      <c r="R19" s="12" t="inlineStr">
        <is>
          <t xml:space="preserve">PA 1, PA 3, PA 8, PA 11</t>
        </is>
      </c>
    </row>
    <row r="20" ht="55.5" customHeight="1">
      <c r="A20" s="12" t="s">
        <v>680</v>
      </c>
      <c r="B20" s="11" t="s">
        <v>718</v>
      </c>
      <c r="C20" s="12" t="s">
        <v>719</v>
      </c>
      <c r="D20" s="12" t="s">
        <v>720</v>
      </c>
      <c r="E20" s="12" t="s">
        <v>721</v>
      </c>
      <c r="F20" s="12" t="s">
        <v>722</v>
      </c>
      <c r="G20" s="12" t="s">
        <v>156</v>
      </c>
      <c r="H20" s="28" t="s">
        <v>282</v>
      </c>
      <c r="I20" s="28"/>
      <c r="J20" s="12" t="s">
        <v>723</v>
      </c>
      <c r="K20" s="12"/>
      <c r="L20" s="12"/>
      <c r="M20" s="12"/>
      <c r="N20" s="12" t="s">
        <v>545</v>
      </c>
      <c r="O20" s="12" t="s">
        <v>724</v>
      </c>
      <c r="P20" s="12"/>
      <c r="Q20" s="12"/>
      <c r="R20" s="12" t="inlineStr">
        <is>
          <t xml:space="preserve">—</t>
        </is>
      </c>
    </row>
    <row r="21" ht="55.5" customHeight="1">
      <c r="A21" s="29" t="s">
        <v>680</v>
      </c>
      <c r="B21" s="30" t="s">
        <v>725</v>
      </c>
      <c r="C21" s="29" t="s">
        <v>726</v>
      </c>
      <c r="D21" s="29" t="s">
        <v>645</v>
      </c>
      <c r="E21" s="29" t="s">
        <v>351</v>
      </c>
      <c r="F21" s="29" t="s">
        <v>727</v>
      </c>
      <c r="G21" s="29" t="s">
        <v>156</v>
      </c>
      <c r="H21" s="31" t="s">
        <v>282</v>
      </c>
      <c r="I21" s="31"/>
      <c r="J21" s="29" t="s">
        <v>728</v>
      </c>
      <c r="K21" s="29"/>
      <c r="L21" s="29"/>
      <c r="M21" s="29"/>
      <c r="N21" s="12" t="s">
        <v>354</v>
      </c>
      <c r="O21" s="12"/>
      <c r="P21" s="12"/>
      <c r="Q21" s="12"/>
      <c r="R21" s="12" t="inlineStr">
        <is>
          <t xml:space="preserve">—</t>
        </is>
      </c>
    </row>
    <row r="22" ht="55.5" customHeight="1">
      <c r="A22" s="12" t="s">
        <v>680</v>
      </c>
      <c r="B22" s="11" t="s">
        <v>729</v>
      </c>
      <c r="C22" s="12" t="s">
        <v>730</v>
      </c>
      <c r="D22" s="12" t="s">
        <v>731</v>
      </c>
      <c r="E22" s="12" t="s">
        <v>355</v>
      </c>
      <c r="F22" s="12" t="s">
        <v>732</v>
      </c>
      <c r="G22" s="12" t="s">
        <v>156</v>
      </c>
      <c r="H22" s="28" t="s">
        <v>282</v>
      </c>
      <c r="I22" s="28"/>
      <c r="J22" s="12" t="s">
        <v>733</v>
      </c>
      <c r="K22" s="12"/>
      <c r="L22" s="12"/>
      <c r="M22" s="12"/>
      <c r="N22" s="12" t="s">
        <v>734</v>
      </c>
      <c r="O22" s="12" t="s">
        <v>735</v>
      </c>
      <c r="P22" s="12"/>
      <c r="Q22" s="12"/>
      <c r="R22" s="12" t="inlineStr">
        <is>
          <t xml:space="preserve">PA 6</t>
        </is>
      </c>
    </row>
    <row r="23" ht="55.5" customHeight="1">
      <c r="A23" s="29" t="s">
        <v>680</v>
      </c>
      <c r="B23" s="30" t="s">
        <v>736</v>
      </c>
      <c r="C23" s="29" t="s">
        <v>737</v>
      </c>
      <c r="D23" s="29" t="s">
        <v>650</v>
      </c>
      <c r="E23" s="29" t="s">
        <v>738</v>
      </c>
      <c r="F23" s="29" t="s">
        <v>739</v>
      </c>
      <c r="G23" s="29" t="s">
        <v>156</v>
      </c>
      <c r="H23" s="31" t="s">
        <v>282</v>
      </c>
      <c r="I23" s="31"/>
      <c r="J23" s="29" t="s">
        <v>740</v>
      </c>
      <c r="K23" s="29"/>
      <c r="L23" s="29"/>
      <c r="M23" s="29" t="s">
        <v>741</v>
      </c>
      <c r="N23" s="12" t="s">
        <v>297</v>
      </c>
      <c r="O23" s="12" t="s">
        <v>742</v>
      </c>
      <c r="P23" s="12"/>
      <c r="Q23" s="12"/>
      <c r="R23" s="12" t="inlineStr">
        <is>
          <t xml:space="preserve">PA 10</t>
        </is>
      </c>
    </row>
    <row r="24" ht="55.5" customHeight="1">
      <c r="A24" s="12" t="s">
        <v>680</v>
      </c>
      <c r="B24" s="11" t="s">
        <v>743</v>
      </c>
      <c r="C24" s="12" t="s">
        <v>744</v>
      </c>
      <c r="D24" s="12" t="s">
        <v>650</v>
      </c>
      <c r="E24" s="12" t="s">
        <v>745</v>
      </c>
      <c r="F24" s="12" t="s">
        <v>746</v>
      </c>
      <c r="G24" s="12" t="s">
        <v>156</v>
      </c>
      <c r="H24" s="28" t="s">
        <v>282</v>
      </c>
      <c r="I24" s="28"/>
      <c r="J24" s="12" t="s">
        <v>747</v>
      </c>
      <c r="K24" s="12"/>
      <c r="L24" s="12"/>
      <c r="M24" s="12"/>
      <c r="N24" s="12" t="s">
        <v>289</v>
      </c>
      <c r="O24" s="12"/>
      <c r="P24" s="12"/>
      <c r="Q24" s="12"/>
      <c r="R24" s="12" t="inlineStr">
        <is>
          <t xml:space="preserve">PA 5</t>
        </is>
      </c>
    </row>
    <row r="25" ht="55.5" customHeight="1">
      <c r="A25" s="29" t="s">
        <v>680</v>
      </c>
      <c r="B25" s="30" t="s">
        <v>748</v>
      </c>
      <c r="C25" s="29" t="s">
        <v>749</v>
      </c>
      <c r="D25" s="29" t="s">
        <v>650</v>
      </c>
      <c r="E25" s="29" t="s">
        <v>355</v>
      </c>
      <c r="F25" s="29" t="s">
        <v>750</v>
      </c>
      <c r="G25" s="29" t="s">
        <v>156</v>
      </c>
      <c r="H25" s="31" t="s">
        <v>282</v>
      </c>
      <c r="I25" s="31"/>
      <c r="J25" s="29" t="s">
        <v>751</v>
      </c>
      <c r="K25" s="29"/>
      <c r="L25" s="29"/>
      <c r="M25" s="29"/>
      <c r="N25" s="12" t="s">
        <v>442</v>
      </c>
      <c r="O25" s="12"/>
      <c r="P25" s="12"/>
      <c r="Q25" s="12"/>
      <c r="R25" s="12" t="inlineStr">
        <is>
          <t xml:space="preserve">PA 7</t>
        </is>
      </c>
    </row>
    <row r="26" ht="55.5" customHeight="1">
      <c r="A26" s="12" t="s">
        <v>680</v>
      </c>
      <c r="B26" s="11" t="s">
        <v>752</v>
      </c>
      <c r="C26" s="12" t="s">
        <v>753</v>
      </c>
      <c r="D26" s="12" t="s">
        <v>645</v>
      </c>
      <c r="E26" s="12" t="s">
        <v>754</v>
      </c>
      <c r="F26" s="12" t="s">
        <v>755</v>
      </c>
      <c r="G26" s="12" t="s">
        <v>156</v>
      </c>
      <c r="H26" s="28" t="s">
        <v>282</v>
      </c>
      <c r="I26" s="28"/>
      <c r="J26" s="12" t="s">
        <v>756</v>
      </c>
      <c r="K26" s="12"/>
      <c r="L26" s="12"/>
      <c r="M26" s="12"/>
      <c r="N26" s="12" t="s">
        <v>411</v>
      </c>
      <c r="O26" s="12" t="s">
        <v>757</v>
      </c>
      <c r="P26" s="12"/>
      <c r="Q26" s="12"/>
      <c r="R26" s="12" t="inlineStr">
        <is>
          <t xml:space="preserve">PA 3</t>
        </is>
      </c>
    </row>
    <row r="27" ht="55.5" customHeight="1">
      <c r="A27" s="29" t="s">
        <v>680</v>
      </c>
      <c r="B27" s="30" t="s">
        <v>758</v>
      </c>
      <c r="C27" s="29" t="s">
        <v>759</v>
      </c>
      <c r="D27" s="29" t="s">
        <v>720</v>
      </c>
      <c r="E27" s="29" t="s">
        <v>760</v>
      </c>
      <c r="F27" s="29" t="s">
        <v>761</v>
      </c>
      <c r="G27" s="29" t="s">
        <v>156</v>
      </c>
      <c r="H27" s="31" t="s">
        <v>282</v>
      </c>
      <c r="I27" s="31"/>
      <c r="J27" s="29" t="s">
        <v>762</v>
      </c>
      <c r="K27" s="29"/>
      <c r="L27" s="29"/>
      <c r="M27" s="29"/>
      <c r="N27" s="12" t="s">
        <v>590</v>
      </c>
      <c r="O27" s="12" t="s">
        <v>763</v>
      </c>
      <c r="P27" s="12"/>
      <c r="Q27" s="12"/>
      <c r="R27" s="12" t="inlineStr">
        <is>
          <t xml:space="preserve">PA 3</t>
        </is>
      </c>
    </row>
    <row r="28" ht="55.5" customHeight="1">
      <c r="A28" s="12" t="s">
        <v>764</v>
      </c>
      <c r="B28" s="11" t="s">
        <v>765</v>
      </c>
      <c r="C28" s="12" t="s">
        <v>766</v>
      </c>
      <c r="D28" s="12" t="s">
        <v>631</v>
      </c>
      <c r="E28" s="12" t="s">
        <v>313</v>
      </c>
      <c r="F28" s="12" t="s">
        <v>447</v>
      </c>
      <c r="G28" s="12" t="s">
        <v>767</v>
      </c>
      <c r="H28" s="28" t="s">
        <v>282</v>
      </c>
      <c r="I28" s="28"/>
      <c r="J28" s="12" t="s">
        <v>768</v>
      </c>
      <c r="K28" s="12"/>
      <c r="L28" s="12"/>
      <c r="M28" s="12"/>
      <c r="N28" s="12"/>
      <c r="O28" s="12"/>
      <c r="P28" s="12"/>
      <c r="Q28" s="12"/>
      <c r="R28" s="12" t="inlineStr">
        <is>
          <t xml:space="preserve">PA 11</t>
        </is>
      </c>
    </row>
    <row r="29" ht="55.5" customHeight="1">
      <c r="A29" s="29" t="s">
        <v>764</v>
      </c>
      <c r="B29" s="30" t="s">
        <v>769</v>
      </c>
      <c r="C29" s="29" t="s">
        <v>770</v>
      </c>
      <c r="D29" s="29" t="s">
        <v>650</v>
      </c>
      <c r="E29" s="29" t="s">
        <v>771</v>
      </c>
      <c r="F29" s="29" t="s">
        <v>490</v>
      </c>
      <c r="G29" s="29" t="s">
        <v>767</v>
      </c>
      <c r="H29" s="31" t="s">
        <v>282</v>
      </c>
      <c r="I29" s="31"/>
      <c r="J29" s="29" t="s">
        <v>772</v>
      </c>
      <c r="K29" s="29"/>
      <c r="L29" s="29"/>
      <c r="M29" s="29"/>
      <c r="N29" s="12"/>
      <c r="O29" s="12"/>
      <c r="P29" s="12"/>
      <c r="Q29" s="12"/>
      <c r="R29" s="12" t="inlineStr">
        <is>
          <t xml:space="preserve">PA 5, PA 11</t>
        </is>
      </c>
    </row>
    <row r="30" ht="55.5" customHeight="1">
      <c r="A30" s="12" t="s">
        <v>773</v>
      </c>
      <c r="B30" s="11" t="s">
        <v>774</v>
      </c>
      <c r="C30" s="12" t="s">
        <v>775</v>
      </c>
      <c r="D30" s="12" t="s">
        <v>776</v>
      </c>
      <c r="E30" s="12" t="s">
        <v>688</v>
      </c>
      <c r="F30" s="12" t="s">
        <v>559</v>
      </c>
      <c r="G30" s="12" t="s">
        <v>777</v>
      </c>
      <c r="H30" s="28" t="s">
        <v>778</v>
      </c>
      <c r="I30" s="28"/>
      <c r="J30" s="12" t="s">
        <v>779</v>
      </c>
      <c r="K30" s="12"/>
      <c r="L30" s="12" t="s">
        <v>780</v>
      </c>
      <c r="M30" s="12" t="s">
        <v>781</v>
      </c>
      <c r="N30" s="12" t="s">
        <v>782</v>
      </c>
      <c r="O30" s="12"/>
      <c r="P30" s="12"/>
      <c r="Q30" s="12"/>
      <c r="R30" s="12" t="inlineStr">
        <is>
          <t xml:space="preserve">—</t>
        </is>
      </c>
    </row>
    <row r="31" ht="55.5" customHeight="1">
      <c r="A31" s="29" t="s">
        <v>773</v>
      </c>
      <c r="B31" s="30" t="s">
        <v>783</v>
      </c>
      <c r="C31" s="29" t="s">
        <v>784</v>
      </c>
      <c r="D31" s="29" t="s">
        <v>776</v>
      </c>
      <c r="E31" s="29" t="s">
        <v>785</v>
      </c>
      <c r="F31" s="29" t="s">
        <v>786</v>
      </c>
      <c r="G31" s="29" t="s">
        <v>777</v>
      </c>
      <c r="H31" s="31" t="s">
        <v>778</v>
      </c>
      <c r="I31" s="31"/>
      <c r="J31" s="29" t="s">
        <v>787</v>
      </c>
      <c r="K31" s="29"/>
      <c r="L31" s="29" t="s">
        <v>788</v>
      </c>
      <c r="M31" s="29" t="s">
        <v>789</v>
      </c>
      <c r="N31" s="12" t="s">
        <v>790</v>
      </c>
      <c r="O31" s="12"/>
      <c r="P31" s="12"/>
      <c r="Q31" s="12"/>
      <c r="R31" s="12" t="inlineStr">
        <is>
          <t xml:space="preserve">—</t>
        </is>
      </c>
    </row>
    <row r="32" ht="55.5" customHeight="1">
      <c r="A32" s="12" t="s">
        <v>773</v>
      </c>
      <c r="B32" s="11" t="s">
        <v>791</v>
      </c>
      <c r="C32" s="12" t="s">
        <v>792</v>
      </c>
      <c r="D32" s="12" t="s">
        <v>776</v>
      </c>
      <c r="E32" s="12" t="s">
        <v>793</v>
      </c>
      <c r="F32" s="12" t="s">
        <v>794</v>
      </c>
      <c r="G32" s="12" t="s">
        <v>777</v>
      </c>
      <c r="H32" s="28" t="s">
        <v>778</v>
      </c>
      <c r="I32" s="28"/>
      <c r="J32" s="12" t="s">
        <v>795</v>
      </c>
      <c r="K32" s="12"/>
      <c r="L32" s="12" t="s">
        <v>796</v>
      </c>
      <c r="M32" s="12" t="s">
        <v>797</v>
      </c>
      <c r="N32" s="12" t="s">
        <v>790</v>
      </c>
      <c r="O32" s="12" t="s">
        <v>798</v>
      </c>
      <c r="P32" s="12"/>
      <c r="Q32" s="12"/>
      <c r="R32" s="12" t="inlineStr">
        <is>
          <t xml:space="preserve">—</t>
        </is>
      </c>
    </row>
    <row r="33" ht="55.5" customHeight="1">
      <c r="A33" s="29" t="s">
        <v>773</v>
      </c>
      <c r="B33" s="30" t="s">
        <v>799</v>
      </c>
      <c r="C33" s="29" t="s">
        <v>800</v>
      </c>
      <c r="D33" s="29" t="s">
        <v>776</v>
      </c>
      <c r="E33" s="29" t="s">
        <v>801</v>
      </c>
      <c r="F33" s="29" t="s">
        <v>802</v>
      </c>
      <c r="G33" s="29" t="s">
        <v>777</v>
      </c>
      <c r="H33" s="31" t="s">
        <v>778</v>
      </c>
      <c r="I33" s="31"/>
      <c r="J33" s="29" t="s">
        <v>803</v>
      </c>
      <c r="K33" s="29"/>
      <c r="L33" s="29" t="s">
        <v>796</v>
      </c>
      <c r="M33" s="29" t="s">
        <v>804</v>
      </c>
      <c r="N33" s="12" t="s">
        <v>782</v>
      </c>
      <c r="O33" s="12" t="s">
        <v>805</v>
      </c>
      <c r="P33" s="12"/>
      <c r="Q33" s="12"/>
      <c r="R33" s="12" t="inlineStr">
        <is>
          <t xml:space="preserve">—</t>
        </is>
      </c>
    </row>
  </sheetData>
  <autoFilter ref="A3:Q33"/>
  <mergeCells count="1">
    <mergeCell ref="A1:F1"/>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CCE6A557-97BC-4b89-ADB6-D9C93CAAB3DF}">
      <x14:dataValidations xmlns:xm="http://schemas.microsoft.com/office/excel/2006/main" count="2" disablePrompts="0">
        <x14:dataValidation xr:uid="{C37026FD-A45D-4A2D-8862-46C1AB20B9A0}" type="list" allowBlank="1" errorStyle="stop" imeMode="noControl" operator="between" showDropDown="0" showErrorMessage="0" showInputMessage="0">
          <x14:formula1>
            <xm:f>"Not tested,Adequate,Partially adequate,Inadequate,Not applicable"</xm:f>
          </x14:formula1>
          <x14:formula2>
            <xm:f>0</xm:f>
          </x14:formula2>
          <xm:sqref>P4:P33</xm:sqref>
        </x14:dataValidation>
        <x14:dataValidation xr:uid="{A3B73628-A707-4375-A8F0-74F9674C8F69}" type="list" allowBlank="1" errorStyle="stop" imeMode="noControl" operator="between" showDropDown="0" showErrorMessage="0" showInputMessage="0">
          <x14:formula1>
            <xm:f>"Not tested,Effective,Partially effective,Ineffective,Not applicable"</xm:f>
          </x14:formula1>
          <x14:formula2>
            <xm:f>0</xm:f>
          </x14:formula2>
          <xm:sqref>Q4:Q33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pane ySplit="3" topLeftCell="A4" activePane="bottomLeft" state="frozen"/>
      <selection activeCell="A1" activeCellId="0" sqref="A1"/>
    </sheetView>
  </sheetViews>
  <sheetFormatPr defaultColWidth="8.6796875" defaultRowHeight="15"/>
  <cols>
    <col customWidth="1" min="1" max="1" style="1" width="4"/>
    <col customWidth="1" min="2" max="2" style="1" width="28"/>
    <col customWidth="1" min="3" max="3" style="1" width="13"/>
    <col customWidth="1" min="4" max="5" style="1" width="40"/>
    <col customWidth="1" min="6" max="6" style="1" width="30"/>
    <col customWidth="1" min="7" max="7" style="1" width="20"/>
    <col customWidth="1" min="8" max="8" style="1" width="18"/>
    <col customWidth="1" min="9" max="10" style="1" width="12"/>
    <col customWidth="1" min="11" max="11" style="1" width="14"/>
    <col customWidth="1" min="12" max="12" style="1" width="12"/>
  </cols>
  <sheetData>
    <row r="1" ht="15.75" customHeight="1">
      <c r="A1" s="9" t="s">
        <v>806</v>
      </c>
      <c r="B1" s="9"/>
      <c r="C1" s="9"/>
      <c r="D1" s="9"/>
      <c r="E1" s="9"/>
      <c r="F1" s="9"/>
      <c r="G1" s="9"/>
      <c r="H1" s="9"/>
      <c r="I1" s="9"/>
      <c r="J1" s="9"/>
      <c r="K1" s="9"/>
    </row>
    <row r="3" ht="15" customHeight="1">
      <c r="A3" s="34" t="s">
        <v>807</v>
      </c>
      <c r="B3" s="34" t="s">
        <v>808</v>
      </c>
      <c r="C3" s="34" t="s">
        <v>809</v>
      </c>
      <c r="D3" s="34" t="s">
        <v>810</v>
      </c>
      <c r="E3" s="34" t="s">
        <v>811</v>
      </c>
      <c r="F3" s="34" t="s">
        <v>812</v>
      </c>
      <c r="G3" s="34" t="s">
        <v>269</v>
      </c>
      <c r="H3" s="34" t="s">
        <v>813</v>
      </c>
      <c r="I3" s="34" t="s">
        <v>814</v>
      </c>
      <c r="J3" s="34" t="s">
        <v>815</v>
      </c>
      <c r="K3" s="34" t="s">
        <v>816</v>
      </c>
      <c r="L3" s="34" t="s">
        <v>817</v>
      </c>
    </row>
    <row r="4" ht="91.5" customHeight="1">
      <c r="A4" s="35">
        <v>1</v>
      </c>
      <c r="B4" s="11" t="s">
        <v>818</v>
      </c>
      <c r="C4" s="28" t="s">
        <v>819</v>
      </c>
      <c r="D4" s="12" t="s">
        <v>820</v>
      </c>
      <c r="E4" s="12" t="s">
        <v>821</v>
      </c>
      <c r="F4" s="12" t="s">
        <v>822</v>
      </c>
      <c r="G4" s="12" t="s">
        <v>235</v>
      </c>
      <c r="H4" s="28" t="s">
        <v>231</v>
      </c>
      <c r="I4" s="28"/>
      <c r="J4" s="28" t="s">
        <v>823</v>
      </c>
      <c r="K4" s="28"/>
      <c r="L4" s="28"/>
    </row>
    <row r="5" ht="91.5" customHeight="1">
      <c r="A5" s="36">
        <v>2</v>
      </c>
      <c r="B5" s="37" t="s">
        <v>824</v>
      </c>
      <c r="C5" s="38" t="s">
        <v>819</v>
      </c>
      <c r="D5" s="39" t="s">
        <v>825</v>
      </c>
      <c r="E5" s="39" t="s">
        <v>826</v>
      </c>
      <c r="F5" s="39" t="s">
        <v>827</v>
      </c>
      <c r="G5" s="39" t="s">
        <v>235</v>
      </c>
      <c r="H5" s="38" t="s">
        <v>231</v>
      </c>
      <c r="I5" s="38"/>
      <c r="J5" s="38" t="s">
        <v>823</v>
      </c>
      <c r="K5" s="38"/>
      <c r="L5" s="38"/>
    </row>
    <row r="6" ht="91.5" customHeight="1">
      <c r="A6" s="35">
        <v>3</v>
      </c>
      <c r="B6" s="11" t="s">
        <v>828</v>
      </c>
      <c r="C6" s="28" t="s">
        <v>819</v>
      </c>
      <c r="D6" s="12" t="s">
        <v>829</v>
      </c>
      <c r="E6" s="12" t="s">
        <v>830</v>
      </c>
      <c r="F6" s="12" t="s">
        <v>831</v>
      </c>
      <c r="G6" s="12" t="s">
        <v>235</v>
      </c>
      <c r="H6" s="28" t="s">
        <v>231</v>
      </c>
      <c r="I6" s="28"/>
      <c r="J6" s="28" t="s">
        <v>823</v>
      </c>
      <c r="K6" s="28"/>
      <c r="L6" s="28"/>
    </row>
    <row r="7" ht="91.5" customHeight="1">
      <c r="A7" s="36">
        <v>4</v>
      </c>
      <c r="B7" s="37" t="s">
        <v>832</v>
      </c>
      <c r="C7" s="38" t="s">
        <v>833</v>
      </c>
      <c r="D7" s="39" t="s">
        <v>834</v>
      </c>
      <c r="E7" s="39" t="s">
        <v>835</v>
      </c>
      <c r="F7" s="39" t="s">
        <v>836</v>
      </c>
      <c r="G7" s="39" t="s">
        <v>837</v>
      </c>
      <c r="H7" s="38" t="s">
        <v>23</v>
      </c>
      <c r="I7" s="38"/>
      <c r="J7" s="38" t="s">
        <v>823</v>
      </c>
      <c r="K7" s="38"/>
      <c r="L7" s="38"/>
    </row>
    <row r="8" ht="91.5" customHeight="1">
      <c r="A8" s="35">
        <v>5</v>
      </c>
      <c r="B8" s="11" t="s">
        <v>838</v>
      </c>
      <c r="C8" s="28" t="s">
        <v>839</v>
      </c>
      <c r="D8" s="12" t="s">
        <v>840</v>
      </c>
      <c r="E8" s="12" t="s">
        <v>841</v>
      </c>
      <c r="F8" s="12" t="s">
        <v>842</v>
      </c>
      <c r="G8" s="12" t="s">
        <v>843</v>
      </c>
      <c r="H8" s="28" t="s">
        <v>844</v>
      </c>
      <c r="I8" s="28"/>
      <c r="J8" s="28" t="s">
        <v>823</v>
      </c>
      <c r="K8" s="28"/>
      <c r="L8" s="28"/>
    </row>
    <row r="9" ht="91.5" customHeight="1">
      <c r="A9" s="36">
        <v>6</v>
      </c>
      <c r="B9" s="37" t="s">
        <v>845</v>
      </c>
      <c r="C9" s="38" t="s">
        <v>833</v>
      </c>
      <c r="D9" s="39" t="s">
        <v>846</v>
      </c>
      <c r="E9" s="39" t="s">
        <v>847</v>
      </c>
      <c r="F9" s="39" t="s">
        <v>848</v>
      </c>
      <c r="G9" s="39" t="s">
        <v>837</v>
      </c>
      <c r="H9" s="38" t="s">
        <v>23</v>
      </c>
      <c r="I9" s="38"/>
      <c r="J9" s="38" t="s">
        <v>823</v>
      </c>
      <c r="K9" s="38"/>
      <c r="L9" s="38"/>
    </row>
    <row r="10" ht="91.5" customHeight="1">
      <c r="A10" s="35">
        <v>7</v>
      </c>
      <c r="B10" s="11" t="s">
        <v>849</v>
      </c>
      <c r="C10" s="28" t="s">
        <v>833</v>
      </c>
      <c r="D10" s="12" t="s">
        <v>850</v>
      </c>
      <c r="E10" s="12" t="s">
        <v>851</v>
      </c>
      <c r="F10" s="12" t="s">
        <v>852</v>
      </c>
      <c r="G10" s="12" t="s">
        <v>837</v>
      </c>
      <c r="H10" s="28" t="s">
        <v>23</v>
      </c>
      <c r="I10" s="28"/>
      <c r="J10" s="28" t="s">
        <v>823</v>
      </c>
      <c r="K10" s="28"/>
      <c r="L10" s="28"/>
    </row>
    <row r="11" ht="91.5" customHeight="1">
      <c r="A11" s="36">
        <v>8</v>
      </c>
      <c r="B11" s="37" t="s">
        <v>853</v>
      </c>
      <c r="C11" s="38" t="s">
        <v>839</v>
      </c>
      <c r="D11" s="39" t="s">
        <v>854</v>
      </c>
      <c r="E11" s="39" t="s">
        <v>855</v>
      </c>
      <c r="F11" s="39" t="s">
        <v>856</v>
      </c>
      <c r="G11" s="39" t="s">
        <v>843</v>
      </c>
      <c r="H11" s="38" t="s">
        <v>844</v>
      </c>
      <c r="I11" s="38"/>
      <c r="J11" s="38" t="s">
        <v>823</v>
      </c>
      <c r="K11" s="38"/>
      <c r="L11" s="38"/>
    </row>
    <row r="12" ht="91.5" customHeight="1">
      <c r="A12" s="35">
        <v>9</v>
      </c>
      <c r="B12" s="11" t="s">
        <v>857</v>
      </c>
      <c r="C12" s="28" t="s">
        <v>839</v>
      </c>
      <c r="D12" s="12" t="s">
        <v>858</v>
      </c>
      <c r="E12" s="12" t="s">
        <v>859</v>
      </c>
      <c r="F12" s="12" t="s">
        <v>860</v>
      </c>
      <c r="G12" s="12" t="s">
        <v>843</v>
      </c>
      <c r="H12" s="28" t="s">
        <v>844</v>
      </c>
      <c r="I12" s="28"/>
      <c r="J12" s="28" t="s">
        <v>823</v>
      </c>
      <c r="K12" s="28"/>
      <c r="L12" s="28"/>
    </row>
    <row r="13" ht="91.5" customHeight="1">
      <c r="A13" s="36">
        <v>10</v>
      </c>
      <c r="B13" s="37" t="s">
        <v>861</v>
      </c>
      <c r="C13" s="38" t="s">
        <v>833</v>
      </c>
      <c r="D13" s="39" t="s">
        <v>862</v>
      </c>
      <c r="E13" s="39" t="s">
        <v>863</v>
      </c>
      <c r="F13" s="39" t="s">
        <v>864</v>
      </c>
      <c r="G13" s="39" t="s">
        <v>837</v>
      </c>
      <c r="H13" s="38" t="s">
        <v>23</v>
      </c>
      <c r="I13" s="38"/>
      <c r="J13" s="38" t="s">
        <v>823</v>
      </c>
      <c r="K13" s="38"/>
      <c r="L13" s="38"/>
    </row>
    <row r="14" ht="91.5" customHeight="1">
      <c r="A14" s="35">
        <v>11</v>
      </c>
      <c r="B14" s="11" t="s">
        <v>865</v>
      </c>
      <c r="C14" s="28" t="s">
        <v>866</v>
      </c>
      <c r="D14" s="12" t="s">
        <v>867</v>
      </c>
      <c r="E14" s="12" t="s">
        <v>868</v>
      </c>
      <c r="F14" s="12" t="s">
        <v>869</v>
      </c>
      <c r="G14" s="12" t="s">
        <v>870</v>
      </c>
      <c r="H14" s="28" t="s">
        <v>231</v>
      </c>
      <c r="I14" s="28"/>
      <c r="J14" s="28" t="s">
        <v>823</v>
      </c>
      <c r="K14" s="28"/>
      <c r="L14" s="28"/>
    </row>
    <row r="15" ht="91.5" customHeight="1">
      <c r="A15" s="35">
        <v>12</v>
      </c>
      <c r="B15" s="11" t="s">
        <v>871</v>
      </c>
      <c r="C15" s="28" t="s">
        <v>866</v>
      </c>
      <c r="D15" s="12" t="s">
        <v>872</v>
      </c>
      <c r="E15" s="12" t="s">
        <v>873</v>
      </c>
      <c r="F15" s="12" t="s">
        <v>874</v>
      </c>
      <c r="G15" s="12" t="s">
        <v>875</v>
      </c>
      <c r="H15" s="28" t="s">
        <v>844</v>
      </c>
      <c r="I15" s="28"/>
      <c r="J15" s="28" t="s">
        <v>823</v>
      </c>
      <c r="K15" s="28"/>
      <c r="L15" s="28"/>
    </row>
    <row r="16" ht="91.5" customHeight="1">
      <c r="A16" s="35">
        <v>13</v>
      </c>
      <c r="B16" s="11" t="s">
        <v>876</v>
      </c>
      <c r="C16" s="28" t="s">
        <v>866</v>
      </c>
      <c r="D16" s="12" t="s">
        <v>877</v>
      </c>
      <c r="E16" s="12" t="s">
        <v>878</v>
      </c>
      <c r="F16" s="12" t="s">
        <v>879</v>
      </c>
      <c r="G16" s="12" t="s">
        <v>843</v>
      </c>
      <c r="H16" s="28" t="s">
        <v>231</v>
      </c>
      <c r="I16" s="28"/>
      <c r="J16" s="28" t="s">
        <v>823</v>
      </c>
      <c r="K16" s="28"/>
      <c r="L16" s="28"/>
    </row>
    <row r="17" ht="91.5" customHeight="1">
      <c r="A17" s="35">
        <v>14</v>
      </c>
      <c r="B17" s="11" t="s">
        <v>880</v>
      </c>
      <c r="C17" s="28" t="s">
        <v>866</v>
      </c>
      <c r="D17" s="12" t="s">
        <v>881</v>
      </c>
      <c r="E17" s="12" t="s">
        <v>882</v>
      </c>
      <c r="F17" s="12" t="s">
        <v>883</v>
      </c>
      <c r="G17" s="12" t="s">
        <v>870</v>
      </c>
      <c r="H17" s="28" t="s">
        <v>844</v>
      </c>
      <c r="I17" s="28"/>
      <c r="J17" s="28" t="s">
        <v>823</v>
      </c>
      <c r="K17" s="28"/>
      <c r="L17" s="28"/>
    </row>
  </sheetData>
  <autoFilter ref="A3:L13"/>
  <mergeCells count="1">
    <mergeCell ref="A1:K1"/>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CCE6A557-97BC-4b89-ADB6-D9C93CAAB3DF}">
      <x14:dataValidations xmlns:xm="http://schemas.microsoft.com/office/excel/2006/main" count="2" disablePrompts="0">
        <x14:dataValidation xr:uid="{F9E808B2-B9AD-422B-A1B5-75F44C5DEAA7}" type="list" allowBlank="1" errorStyle="stop" imeMode="noControl" operator="between" showDropDown="0" showErrorMessage="0" showInputMessage="0">
          <x14:formula1>
            <xm:f>"Not run,Pass,Pass with findings,Fail"</xm:f>
          </x14:formula1>
          <x14:formula2>
            <xm:f>0</xm:f>
          </x14:formula2>
          <xm:sqref>J4:J17</xm:sqref>
        </x14:dataValidation>
        <x14:dataValidation xr:uid="{69285996-9F09-4D62-9262-3F5CF7E506E6}" type="list" allowBlank="1" errorStyle="stop" imeMode="noControl" operator="between" showDropDown="0" showErrorMessage="0" showInputMessage="0">
          <x14:formula1>
            <xm:f>"Low,Medium,High"</xm:f>
          </x14:formula1>
          <x14:formula2>
            <xm:f>0</xm:f>
          </x14:formula2>
          <xm:sqref>K4:K17</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selection activeCell="A1" activeCellId="0" sqref="A1"/>
    </sheetView>
  </sheetViews>
  <sheetFormatPr defaultColWidth="8.6796875" defaultRowHeight="14.25"/>
  <cols>
    <col customWidth="1" min="1" max="1" style="1" width="2"/>
    <col customWidth="1" min="2" max="2" style="1" width="18"/>
    <col customWidth="1" min="3" max="3" style="1" width="11"/>
    <col customWidth="1" min="4" max="6" style="1" width="12"/>
    <col customWidth="1" min="7" max="7" style="1" width="20"/>
    <col customWidth="1" min="8" max="8" style="1" width="8"/>
    <col customWidth="1" min="9" max="9" style="1" width="13"/>
    <col customWidth="1" min="10" max="10" style="1" width="15"/>
  </cols>
  <sheetData>
    <row r="2" ht="18" customHeight="1">
      <c r="B2" s="40" t="s">
        <v>884</v>
      </c>
    </row>
    <row r="3" ht="15" customHeight="1">
      <c r="B3" s="41" t="s">
        <v>885</v>
      </c>
      <c r="C3" s="41"/>
      <c r="D3" s="41"/>
      <c r="E3" s="41"/>
      <c r="F3" s="41"/>
      <c r="G3" s="41"/>
      <c r="H3" s="41"/>
    </row>
    <row r="5" ht="26.25" customHeight="1">
      <c r="B5" s="42" t="s">
        <v>886</v>
      </c>
      <c r="C5" s="42" t="s">
        <v>887</v>
      </c>
      <c r="D5" s="42" t="s">
        <v>282</v>
      </c>
      <c r="E5" s="42" t="s">
        <v>778</v>
      </c>
      <c r="F5" s="42" t="s">
        <v>888</v>
      </c>
      <c r="G5" s="42" t="s">
        <v>889</v>
      </c>
      <c r="H5" s="42" t="s">
        <v>890</v>
      </c>
      <c r="I5" s="42" t="s">
        <v>891</v>
      </c>
      <c r="J5" s="42" t="s">
        <v>892</v>
      </c>
    </row>
    <row r="6" ht="15" customHeight="1">
      <c r="B6" s="11" t="s">
        <v>625</v>
      </c>
      <c r="C6" s="28">
        <v>38</v>
      </c>
      <c r="D6" s="28">
        <f>COUNTIF('Control Library - ISO 42001'!F4:F41,"Not started")</f>
        <v>38</v>
      </c>
      <c r="E6" s="28">
        <f>COUNTIF('Control Library - ISO 42001'!F4:F41,"In progress")</f>
        <v>0</v>
      </c>
      <c r="F6" s="28">
        <f>COUNTIF('Control Library - ISO 42001'!F4:F41,"Implemented")</f>
        <v>0</v>
      </c>
      <c r="G6" s="28">
        <f>COUNTIF('Control Library - ISO 42001'!F4:F41,"Operating effectively")</f>
        <v>0</v>
      </c>
      <c r="H6" s="28">
        <f>COUNTIF('Control Library - ISO 42001'!F4:F41,"Not applicable")</f>
        <v>0</v>
      </c>
      <c r="I6" s="28" t="str">
        <f>IFERROR(ROUND(AVERAGE('Control Library - ISO 42001'!G4:G41),2),"-")</f>
        <v>-</v>
      </c>
      <c r="J6" s="43">
        <f>IFERROR(ROUND((COUNTIF('Control Library - ISO 42001'!F4:F41,"Implemented")+COUNTIF('Control Library - ISO 42001'!F4:F41,"Operating effectively"))/(38-COUNTIF('Control Library - ISO 42001'!F4:F41,"Not applicable")),3),0)</f>
        <v>0</v>
      </c>
    </row>
    <row r="7" ht="15" customHeight="1">
      <c r="B7" s="44" t="s">
        <v>626</v>
      </c>
      <c r="C7" s="45">
        <v>72</v>
      </c>
      <c r="D7" s="45">
        <f>COUNTIF('Control Library - NIST AI RMF'!G4:G75,"Not started")</f>
        <v>72</v>
      </c>
      <c r="E7" s="45">
        <f>COUNTIF('Control Library - NIST AI RMF'!G4:G75,"In progress")</f>
        <v>0</v>
      </c>
      <c r="F7" s="45">
        <f>COUNTIF('Control Library - NIST AI RMF'!G4:G75,"Implemented")</f>
        <v>0</v>
      </c>
      <c r="G7" s="45">
        <f>COUNTIF('Control Library - NIST AI RMF'!G4:G75,"Operating effectively")</f>
        <v>0</v>
      </c>
      <c r="H7" s="45">
        <f>COUNTIF('Control Library - NIST AI RMF'!G4:G75,"Not applicable")</f>
        <v>0</v>
      </c>
      <c r="I7" s="45" t="str">
        <f>IFERROR(ROUND(AVERAGE('Control Library - NIST AI RMF'!H4:H75),2),"-")</f>
        <v>-</v>
      </c>
      <c r="J7" s="46">
        <f>IFERROR(ROUND((COUNTIF('Control Library - NIST AI RMF'!G4:G75,"Implemented")+COUNTIF('Control Library - NIST AI RMF'!G4:G75,"Operating effectively"))/(72-COUNTIF('Control Library - NIST AI RMF'!G4:G75,"Not applicable")),3),0)</f>
        <v>0</v>
      </c>
    </row>
    <row r="8" ht="15" customHeight="1">
      <c r="B8" s="11" t="s">
        <v>893</v>
      </c>
      <c r="C8" s="28">
        <v>30</v>
      </c>
      <c r="D8" s="28">
        <f>COUNTIF('Control Library - MAS'!H4:H33,"Not started")</f>
        <v>26</v>
      </c>
      <c r="E8" s="28">
        <f>COUNTIF('Control Library - MAS'!H4:H33,"In progress")</f>
        <v>4</v>
      </c>
      <c r="F8" s="28">
        <f>COUNTIF('Control Library - MAS'!H4:H33,"Implemented")</f>
        <v>0</v>
      </c>
      <c r="G8" s="28">
        <f>COUNTIF('Control Library - MAS'!H4:H33,"Operating effectively")</f>
        <v>0</v>
      </c>
      <c r="H8" s="28">
        <f>COUNTIF('Control Library - MAS'!H4:H33,"Not applicable")</f>
        <v>0</v>
      </c>
      <c r="I8" s="28" t="str">
        <f>IFERROR(ROUND(AVERAGE('Control Library - MAS'!I4:I33),2),"-")</f>
        <v>-</v>
      </c>
      <c r="J8" s="43">
        <f>IFERROR(ROUND((COUNTIF('Control Library - MAS'!H4:H33,"Implemented")+COUNTIF('Control Library - MAS'!H4:H33,"Operating effectively"))/(30-COUNTIF('Control Library - MAS'!H4:H33,"Not applicable")),3),0)</f>
        <v>0</v>
      </c>
    </row>
    <row r="9" ht="15" customHeight="1">
      <c r="B9" s="11" t="s">
        <v>894</v>
      </c>
      <c r="C9" s="28">
        <v>34</v>
      </c>
      <c r="D9" s="28">
        <f>COUNTIF('Control Library - MGF Agentic'!I4:I37,"Not started")</f>
        <v>34</v>
      </c>
      <c r="E9" s="28">
        <f>COUNTIF('Control Library - MGF Agentic'!I4:I37,"In progress")</f>
        <v>0</v>
      </c>
      <c r="F9" s="28">
        <f>COUNTIF('Control Library - MGF Agentic'!I4:I37,"Implemented")</f>
        <v>0</v>
      </c>
      <c r="G9" s="28">
        <f>COUNTIF('Control Library - MGF Agentic'!I4:I37,"Operating effectively")</f>
        <v>0</v>
      </c>
      <c r="H9" s="28">
        <f>COUNTIF('Control Library - MGF Agentic'!I4:I37,"Not applicable")</f>
        <v>0</v>
      </c>
      <c r="I9" s="28" t="str">
        <f>IFERROR(ROUND(AVERAGE('Control Library - MGF Agentic'!J4:J37),2),"-")</f>
        <v>-</v>
      </c>
      <c r="J9" s="28">
        <f>IFERROR(ROUND((COUNTIF('Control Library - MGF Agentic'!I4:I37,"Implemented")+COUNTIF('Control Library - MGF Agentic'!I4:I37,"Operating effectively"))/(34-COUNTIF('Control Library - MGF Agentic'!I4:I37,"Not applicable")),3),0)</f>
        <v>0</v>
      </c>
    </row>
    <row r="10" ht="15" customHeight="1">
      <c r="B10" s="11" t="s">
        <v>895</v>
      </c>
      <c r="C10" s="28">
        <v>21</v>
      </c>
      <c r="D10" s="28">
        <f>COUNTIF('Control Library - SAFR'!I4:I24,"Not started")</f>
        <v>21</v>
      </c>
      <c r="E10" s="28">
        <f>COUNTIF('Control Library - SAFR'!I4:I24,"In progress")</f>
        <v>0</v>
      </c>
      <c r="F10" s="28">
        <f>COUNTIF('Control Library - SAFR'!I4:I24,"Implemented")</f>
        <v>0</v>
      </c>
      <c r="G10" s="28">
        <f>COUNTIF('Control Library - SAFR'!I4:I24,"Operating effectively")</f>
        <v>0</v>
      </c>
      <c r="H10" s="28">
        <f>COUNTIF('Control Library - SAFR'!I4:I24,"Not applicable")</f>
        <v>0</v>
      </c>
      <c r="I10" s="28" t="str">
        <f>IFERROR(ROUND(AVERAGE('Control Library - SAFR'!J4:J24),2),"-")</f>
        <v>-</v>
      </c>
      <c r="J10" s="28">
        <f>IFERROR(ROUND((COUNTIF('Control Library - SAFR'!I4:I24,"Implemented")+COUNTIF('Control Library - SAFR'!I4:I24,"Operating effectively"))/(C10-COUNTIF('Control Library - SAFR'!I4:I24,"Not applicable")),3),0)</f>
        <v>0</v>
      </c>
    </row>
    <row r="11" ht="14.25" customHeight="1">
      <c r="B11" s="47" t="s">
        <v>896</v>
      </c>
      <c r="C11" s="48">
        <f>SUM(C6:C10)</f>
        <v>195</v>
      </c>
      <c r="D11" s="48">
        <f>SUM(D6:D10)</f>
        <v>191</v>
      </c>
      <c r="E11" s="48">
        <f>SUM(E6:E10)</f>
        <v>4</v>
      </c>
      <c r="F11" s="48">
        <f>SUM(F6:F10)</f>
        <v>0</v>
      </c>
      <c r="G11" s="48">
        <f>SUM(G6:G10)</f>
        <v>0</v>
      </c>
      <c r="H11" s="48">
        <f>SUM(H6:H10)</f>
        <v>0</v>
      </c>
      <c r="I11" s="48" t="str">
        <f>IFERROR(ROUND(AVERAGE(I6:I10),2),"-")</f>
        <v>-</v>
      </c>
      <c r="J11" s="49">
        <f>IFERROR((F11+G11)/(C11-H11),0)</f>
        <v>0</v>
      </c>
    </row>
    <row r="12" ht="15" customHeight="1"/>
    <row r="13" ht="15" customHeight="1">
      <c r="B13" s="50" t="s">
        <v>897</v>
      </c>
    </row>
    <row r="14" ht="15" customHeight="1">
      <c r="B14" s="26" t="s">
        <v>898</v>
      </c>
    </row>
    <row r="15" ht="15" customHeight="1">
      <c r="B15" s="50" t="s">
        <v>899</v>
      </c>
    </row>
    <row r="16" ht="15" customHeight="1">
      <c r="B16" s="26" t="s">
        <v>900</v>
      </c>
    </row>
    <row r="17" ht="14.25" customHeight="1">
      <c r="B17" s="51" t="s">
        <v>901</v>
      </c>
    </row>
    <row r="18" ht="15" customHeight="1">
      <c r="B18" s="1"/>
      <c r="C18" s="1"/>
      <c r="D18" s="1"/>
      <c r="E18" s="1"/>
      <c r="F18" s="1"/>
    </row>
    <row r="19" ht="15" customHeight="1">
      <c r="B19" s="52" t="s">
        <v>902</v>
      </c>
      <c r="C19" s="52"/>
      <c r="D19" s="52"/>
      <c r="E19" s="52"/>
      <c r="F19" s="53"/>
    </row>
    <row r="20" ht="27" customHeight="1">
      <c r="B20" s="54" t="s">
        <v>903</v>
      </c>
      <c r="F20" s="55" t="str">
        <f>COUNTIF('Control Library - MAS'!H30:H33,"&lt;&gt;Not started")&amp;" / 4"</f>
        <v xml:space="preserve">4 / 4</v>
      </c>
    </row>
    <row r="21" ht="15" customHeight="1">
      <c r="B21" s="56" t="s">
        <v>904</v>
      </c>
      <c r="C21" s="56" t="s">
        <v>905</v>
      </c>
      <c r="D21" s="56" t="s">
        <v>906</v>
      </c>
      <c r="E21" s="56" t="s">
        <v>907</v>
      </c>
      <c r="F21" s="56" t="s">
        <v>908</v>
      </c>
    </row>
    <row r="22" ht="15" customHeight="1">
      <c r="B22" s="57" t="s">
        <v>909</v>
      </c>
      <c r="C22" s="58" t="str">
        <f>'Control Library - MAS'!H30</f>
        <v xml:space="preserve">In progress</v>
      </c>
      <c r="D22" s="58" t="s">
        <v>910</v>
      </c>
      <c r="E22" s="59" t="s">
        <v>911</v>
      </c>
      <c r="F22" s="58" t="s">
        <v>912</v>
      </c>
    </row>
    <row r="23" ht="15" customHeight="1">
      <c r="B23" s="57" t="s">
        <v>913</v>
      </c>
      <c r="C23" s="58" t="str">
        <f>'Control Library - MAS'!H31</f>
        <v xml:space="preserve">In progress</v>
      </c>
      <c r="D23" s="58" t="s">
        <v>914</v>
      </c>
      <c r="E23" s="59" t="s">
        <v>915</v>
      </c>
      <c r="F23" s="58" t="s">
        <v>916</v>
      </c>
    </row>
    <row r="24" ht="15" customHeight="1">
      <c r="B24" s="57" t="s">
        <v>917</v>
      </c>
      <c r="C24" s="58" t="str">
        <f>'Control Library - MAS'!H32</f>
        <v xml:space="preserve">In progress</v>
      </c>
      <c r="D24" s="58" t="s">
        <v>914</v>
      </c>
      <c r="E24" s="59" t="s">
        <v>918</v>
      </c>
      <c r="F24" s="58" t="s">
        <v>916</v>
      </c>
    </row>
    <row r="25" ht="15" customHeight="1">
      <c r="B25" s="57" t="s">
        <v>919</v>
      </c>
      <c r="C25" s="58" t="str">
        <f>'Control Library - MAS'!H33</f>
        <v xml:space="preserve">In progress</v>
      </c>
      <c r="D25" s="58" t="s">
        <v>910</v>
      </c>
    </row>
    <row r="26" ht="14.25" customHeight="1">
      <c r="B26" s="60" t="s">
        <v>920</v>
      </c>
      <c r="C26" s="60"/>
      <c r="D26" s="60"/>
      <c r="E26" s="60"/>
      <c r="F26" s="60"/>
    </row>
    <row r="28">
      <c r="B28" s="52" t="inlineStr">
        <is>
          <t>ASSURANCE TESTING — TEST OF DESIGN &amp; OPERATING EFFECTIVENESS</t>
        </is>
      </c>
    </row>
    <row r="29">
      <c r="B29" s="42" t="inlineStr">
        <is>
          <t>Framework</t>
        </is>
      </c>
      <c r="C29" s="42" t="inlineStr">
        <is>
          <t>Design assessed</t>
        </is>
      </c>
      <c r="D29" s="42" t="inlineStr">
        <is>
          <t>Design adequate</t>
        </is>
      </c>
      <c r="E29" s="42" t="inlineStr">
        <is>
          <t>% design adequate</t>
        </is>
      </c>
      <c r="F29" s="42" t="inlineStr">
        <is>
          <t>Operating assessed</t>
        </is>
      </c>
      <c r="G29" s="42" t="inlineStr">
        <is>
          <t>Operating effective</t>
        </is>
      </c>
      <c r="H29" s="42" t="inlineStr">
        <is>
          <t>% operating effective</t>
        </is>
      </c>
    </row>
    <row r="30">
      <c r="B30" s="11" t="inlineStr">
        <is>
          <t>ISO 42001</t>
        </is>
      </c>
      <c r="C30" s="28">
        <f>COUNTIF('Control Library - ISO 42001'!M4:M41,"Adequate")+COUNTIF('Control Library - ISO 42001'!M4:M41,"Partially adequate")+COUNTIF('Control Library - ISO 42001'!M4:M41,"Inadequate")</f>
      </c>
      <c r="D30" s="28">
        <f>COUNTIF('Control Library - ISO 42001'!M4:M41,"Adequate")</f>
      </c>
      <c r="E30" s="43">
        <f>IFERROR(D30/C30,0)</f>
      </c>
      <c r="F30" s="28">
        <f>COUNTIF('Control Library - ISO 42001'!N4:N41,"Effective")+COUNTIF('Control Library - ISO 42001'!N4:N41,"Partially effective")+COUNTIF('Control Library - ISO 42001'!N4:N41,"Ineffective")</f>
      </c>
      <c r="G30" s="28">
        <f>COUNTIF('Control Library - ISO 42001'!N4:N41,"Effective")</f>
      </c>
      <c r="H30" s="43">
        <f>IFERROR(G30/F30,0)</f>
      </c>
    </row>
    <row r="31">
      <c r="B31" s="11" t="inlineStr">
        <is>
          <t>NIST AI RMF</t>
        </is>
      </c>
      <c r="C31" s="28">
        <f>COUNTIF('Control Library - NIST AI RMF'!N4:N75,"Adequate")+COUNTIF('Control Library - NIST AI RMF'!N4:N75,"Partially adequate")+COUNTIF('Control Library - NIST AI RMF'!N4:N75,"Inadequate")</f>
      </c>
      <c r="D31" s="28">
        <f>COUNTIF('Control Library - NIST AI RMF'!N4:N75,"Adequate")</f>
      </c>
      <c r="E31" s="43">
        <f>IFERROR(D31/C31,0)</f>
      </c>
      <c r="F31" s="28">
        <f>COUNTIF('Control Library - NIST AI RMF'!O4:O75,"Effective")+COUNTIF('Control Library - NIST AI RMF'!O4:O75,"Partially effective")+COUNTIF('Control Library - NIST AI RMF'!O4:O75,"Ineffective")</f>
      </c>
      <c r="G31" s="28">
        <f>COUNTIF('Control Library - NIST AI RMF'!O4:O75,"Effective")</f>
      </c>
      <c r="H31" s="43">
        <f>IFERROR(G31/F31,0)</f>
      </c>
    </row>
    <row r="32">
      <c r="B32" s="11" t="inlineStr">
        <is>
          <t>MAS</t>
        </is>
      </c>
      <c r="C32" s="28">
        <f>COUNTIF('Control Library - MAS'!P4:P33,"Adequate")+COUNTIF('Control Library - MAS'!P4:P33,"Partially adequate")+COUNTIF('Control Library - MAS'!P4:P33,"Inadequate")</f>
      </c>
      <c r="D32" s="28">
        <f>COUNTIF('Control Library - MAS'!P4:P33,"Adequate")</f>
      </c>
      <c r="E32" s="43">
        <f>IFERROR(D32/C32,0)</f>
      </c>
      <c r="F32" s="28">
        <f>COUNTIF('Control Library - MAS'!Q4:Q33,"Effective")+COUNTIF('Control Library - MAS'!Q4:Q33,"Partially effective")+COUNTIF('Control Library - MAS'!Q4:Q33,"Ineffective")</f>
      </c>
      <c r="G32" s="28">
        <f>COUNTIF('Control Library - MAS'!Q4:Q33,"Effective")</f>
      </c>
      <c r="H32" s="43">
        <f>IFERROR(G32/F32,0)</f>
      </c>
    </row>
    <row r="33">
      <c r="B33" s="11" t="inlineStr">
        <is>
          <t>IMDA MGF Agentic</t>
        </is>
      </c>
      <c r="C33" s="28">
        <f>COUNTIF('Control Library - MGF Agentic'!S4:S37,"Adequate")+COUNTIF('Control Library - MGF Agentic'!S4:S37,"Partially adequate")+COUNTIF('Control Library - MGF Agentic'!S4:S37,"Inadequate")</f>
      </c>
      <c r="D33" s="28">
        <f>COUNTIF('Control Library - MGF Agentic'!S4:S37,"Adequate")</f>
      </c>
      <c r="E33" s="43">
        <f>IFERROR(D33/C33,0)</f>
      </c>
      <c r="F33" s="28">
        <f>COUNTIF('Control Library - MGF Agentic'!T4:T37,"Effective")+COUNTIF('Control Library - MGF Agentic'!T4:T37,"Partially effective")+COUNTIF('Control Library - MGF Agentic'!T4:T37,"Ineffective")</f>
      </c>
      <c r="G33" s="28">
        <f>COUNTIF('Control Library - MGF Agentic'!T4:T37,"Effective")</f>
      </c>
      <c r="H33" s="43">
        <f>IFERROR(G33/F33,0)</f>
      </c>
    </row>
    <row r="34">
      <c r="B34" s="11" t="inlineStr">
        <is>
          <t>SAFR (Runtime)</t>
        </is>
      </c>
      <c r="C34" s="28">
        <f>COUNTIF('Control Library - SAFR'!T4:T24,"Adequate")+COUNTIF('Control Library - SAFR'!T4:T24,"Partially adequate")+COUNTIF('Control Library - SAFR'!T4:T24,"Inadequate")</f>
      </c>
      <c r="D34" s="28">
        <f>COUNTIF('Control Library - SAFR'!T4:T24,"Adequate")</f>
      </c>
      <c r="E34" s="43">
        <f>IFERROR(D34/C34,0)</f>
      </c>
      <c r="F34" s="28">
        <f>COUNTIF('Control Library - SAFR'!U4:U24,"Effective")+COUNTIF('Control Library - SAFR'!U4:U24,"Partially effective")+COUNTIF('Control Library - SAFR'!U4:U24,"Ineffective")</f>
      </c>
      <c r="G34" s="28">
        <f>COUNTIF('Control Library - SAFR'!U4:U24,"Effective")</f>
      </c>
      <c r="H34" s="43">
        <f>IFERROR(G34/F34,0)</f>
      </c>
    </row>
    <row r="35">
      <c r="B35" s="47" t="inlineStr">
        <is>
          <t>TOTAL</t>
        </is>
      </c>
      <c r="C35" s="48">
        <f>SUM(C30:C34)</f>
      </c>
      <c r="D35" s="48">
        <f>SUM(D30:D34)</f>
      </c>
      <c r="E35" s="43">
        <f>IFERROR(D35/C35,0)</f>
      </c>
      <c r="F35" s="48">
        <f>SUM(F30:F34)</f>
      </c>
      <c r="G35" s="48">
        <f>SUM(G30:G34)</f>
      </c>
      <c r="H35" s="43">
        <f>IFERROR(G35/F35,0)</f>
      </c>
    </row>
    <row r="37">
      <c r="B37" s="50" t="inlineStr">
        <is>
          <t>Test of Design conclusions: Not tested / Adequate / Partially adequate / Inadequate / Not applicable.   Test of Operating Effectiveness: Not tested / Effective / Partially effective / Ineffective / Not applicable.   % columns are of the assessed (tested) population.   ToD is the evidentiary basis for an 'Implemented' status; ToE for 'Operating effectively'.</t>
        </is>
      </c>
    </row>
  </sheetData>
  <mergeCells count="6">
    <mergeCell ref="B3:H3"/>
    <mergeCell ref="B18:F18"/>
    <mergeCell ref="B19:E19"/>
    <mergeCell ref="B26:F26"/>
    <mergeCell ref="B28:H28"/>
    <mergeCell ref="B37:H37"/>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pane xSplit="2" ySplit="3" topLeftCell="C4" activePane="bottomRight" state="frozen"/>
      <selection activeCell="A1" activeCellId="0" sqref="A1"/>
    </sheetView>
  </sheetViews>
  <sheetFormatPr defaultColWidth="8.6796875" defaultRowHeight="15"/>
  <cols>
    <col customWidth="1" min="1" max="1" style="1" width="20"/>
    <col customWidth="1" min="2" max="2" style="1" width="12"/>
    <col customWidth="1" min="3" max="4" style="1" width="30"/>
    <col customWidth="1" min="5" max="7" style="1" width="24"/>
    <col customWidth="1" min="8" max="8" style="1" width="16"/>
    <col customWidth="1" min="9" max="9" style="1" width="11"/>
    <col customWidth="1" min="10" max="10" style="1" width="20"/>
    <col customWidth="1" min="11" max="12" style="1" width="13"/>
    <col customWidth="1" min="13" max="13" style="1" width="24"/>
    <col customWidth="1" min="14" max="14" style="1" width="9"/>
    <col customWidth="1" min="15" max="15" style="1" width="11"/>
    <col customWidth="1" min="16" max="16" style="1" width="16"/>
    <col customWidth="1" min="17" max="17" style="1" width="30"/>
    <col customWidth="1" min="19" max="19" style="1" width="24"/>
    <col customWidth="1" min="20" max="20" style="1" width="30"/>
    <col min="21" max="21" width="26" customWidth="1"/>
  </cols>
  <sheetData>
    <row r="1" ht="15.75" customHeight="1">
      <c r="A1" s="61" t="s">
        <v>921</v>
      </c>
    </row>
    <row r="3" ht="34.5" customHeight="1">
      <c r="A3" s="62" t="s">
        <v>922</v>
      </c>
      <c r="B3" s="62" t="s">
        <v>923</v>
      </c>
      <c r="C3" s="62" t="s">
        <v>924</v>
      </c>
      <c r="D3" s="62" t="s">
        <v>925</v>
      </c>
      <c r="E3" s="62" t="s">
        <v>926</v>
      </c>
      <c r="F3" s="62" t="s">
        <v>927</v>
      </c>
      <c r="G3" s="62" t="s">
        <v>626</v>
      </c>
      <c r="H3" s="62" t="s">
        <v>269</v>
      </c>
      <c r="I3" s="62" t="s">
        <v>270</v>
      </c>
      <c r="J3" s="62" t="s">
        <v>271</v>
      </c>
      <c r="K3" s="62" t="s">
        <v>272</v>
      </c>
      <c r="L3" s="62" t="s">
        <v>273</v>
      </c>
      <c r="M3" s="62" t="s">
        <v>274</v>
      </c>
      <c r="N3" s="62" t="s">
        <v>275</v>
      </c>
      <c r="O3" s="62" t="s">
        <v>928</v>
      </c>
      <c r="P3" s="62" t="s">
        <v>929</v>
      </c>
      <c r="Q3" s="62" t="s">
        <v>276</v>
      </c>
      <c r="R3" s="62" t="s">
        <v>930</v>
      </c>
      <c r="S3" s="62" t="inlineStr">
        <is>
          <t>Test of Design</t>
        </is>
      </c>
      <c r="T3" s="62" t="inlineStr">
        <is>
          <t>Test of Operating Effectiveness</t>
        </is>
      </c>
      <c r="U3" s="62" t="inlineStr">
        <is>
          <t xml:space="preserve">Linked CSA PA</t>
        </is>
      </c>
    </row>
    <row r="4" ht="39.75" customHeight="1">
      <c r="A4" s="63" t="s">
        <v>931</v>
      </c>
      <c r="B4" s="64" t="s">
        <v>932</v>
      </c>
      <c r="C4" s="65" t="s">
        <v>933</v>
      </c>
      <c r="D4" s="65" t="s">
        <v>934</v>
      </c>
      <c r="E4" s="65" t="s">
        <v>935</v>
      </c>
      <c r="F4" s="65" t="s">
        <v>936</v>
      </c>
      <c r="G4" s="65" t="s">
        <v>937</v>
      </c>
      <c r="H4" s="65" t="s">
        <v>938</v>
      </c>
      <c r="I4" s="65" t="s">
        <v>282</v>
      </c>
      <c r="J4" s="66"/>
      <c r="K4" s="65"/>
      <c r="L4" s="65"/>
      <c r="M4" s="65"/>
      <c r="N4" s="65"/>
      <c r="O4" s="66">
        <v>5</v>
      </c>
      <c r="P4" s="66" t="str">
        <f t="shared" ref="P4:P9" si="0">IF(J4="","",O4*J4)</f>
        <v/>
      </c>
      <c r="Q4" s="65" t="s">
        <v>321</v>
      </c>
      <c r="R4" s="65" t="s">
        <v>939</v>
      </c>
      <c r="S4" s="65"/>
      <c r="T4" s="65"/>
      <c r="U4" s="65" t="inlineStr">
        <is>
          <t xml:space="preserve">PA 7</t>
        </is>
      </c>
    </row>
    <row r="5" ht="39.75" customHeight="1">
      <c r="A5" s="63" t="s">
        <v>931</v>
      </c>
      <c r="B5" s="64" t="s">
        <v>940</v>
      </c>
      <c r="C5" s="65" t="s">
        <v>941</v>
      </c>
      <c r="D5" s="65" t="s">
        <v>942</v>
      </c>
      <c r="E5" s="65" t="s">
        <v>935</v>
      </c>
      <c r="F5" s="65" t="s">
        <v>936</v>
      </c>
      <c r="G5" s="65" t="s">
        <v>943</v>
      </c>
      <c r="H5" s="65" t="s">
        <v>938</v>
      </c>
      <c r="I5" s="65" t="s">
        <v>282</v>
      </c>
      <c r="J5" s="66"/>
      <c r="K5" s="65"/>
      <c r="L5" s="65"/>
      <c r="M5" s="65"/>
      <c r="N5" s="65"/>
      <c r="O5" s="66">
        <v>4</v>
      </c>
      <c r="P5" s="66" t="str">
        <f t="shared" si="0"/>
        <v/>
      </c>
      <c r="Q5" s="65" t="s">
        <v>944</v>
      </c>
      <c r="R5" s="65" t="s">
        <v>945</v>
      </c>
      <c r="S5" s="65"/>
      <c r="T5" s="65"/>
      <c r="U5" s="65" t="inlineStr">
        <is>
          <t xml:space="preserve">—</t>
        </is>
      </c>
    </row>
    <row r="6" ht="39.75" customHeight="1">
      <c r="A6" s="63" t="s">
        <v>931</v>
      </c>
      <c r="B6" s="64" t="s">
        <v>946</v>
      </c>
      <c r="C6" s="65" t="s">
        <v>947</v>
      </c>
      <c r="D6" s="65" t="s">
        <v>948</v>
      </c>
      <c r="E6" s="65" t="s">
        <v>949</v>
      </c>
      <c r="F6" s="65" t="s">
        <v>332</v>
      </c>
      <c r="G6" s="65" t="s">
        <v>950</v>
      </c>
      <c r="H6" s="65" t="s">
        <v>938</v>
      </c>
      <c r="I6" s="65" t="s">
        <v>282</v>
      </c>
      <c r="J6" s="66"/>
      <c r="K6" s="65"/>
      <c r="L6" s="65"/>
      <c r="M6" s="65"/>
      <c r="N6" s="65"/>
      <c r="O6" s="66">
        <v>5</v>
      </c>
      <c r="P6" s="66" t="str">
        <f t="shared" si="0"/>
        <v/>
      </c>
      <c r="Q6" s="65" t="s">
        <v>343</v>
      </c>
      <c r="R6" s="65" t="s">
        <v>951</v>
      </c>
      <c r="S6" s="65"/>
      <c r="T6" s="65"/>
      <c r="U6" s="65" t="inlineStr">
        <is>
          <t xml:space="preserve">PA 3</t>
        </is>
      </c>
    </row>
    <row r="7" ht="39.75" customHeight="1">
      <c r="A7" s="63" t="s">
        <v>931</v>
      </c>
      <c r="B7" s="64" t="s">
        <v>952</v>
      </c>
      <c r="C7" s="65" t="s">
        <v>953</v>
      </c>
      <c r="D7" s="65" t="s">
        <v>954</v>
      </c>
      <c r="E7" s="65" t="s">
        <v>949</v>
      </c>
      <c r="F7" s="65" t="s">
        <v>332</v>
      </c>
      <c r="G7" s="65" t="s">
        <v>955</v>
      </c>
      <c r="H7" s="65" t="s">
        <v>956</v>
      </c>
      <c r="I7" s="65" t="s">
        <v>282</v>
      </c>
      <c r="J7" s="66"/>
      <c r="K7" s="65"/>
      <c r="L7" s="65"/>
      <c r="M7" s="65"/>
      <c r="N7" s="65"/>
      <c r="O7" s="66">
        <v>5</v>
      </c>
      <c r="P7" s="66" t="str">
        <f t="shared" si="0"/>
        <v/>
      </c>
      <c r="Q7" s="65" t="s">
        <v>343</v>
      </c>
      <c r="R7" s="65" t="s">
        <v>957</v>
      </c>
      <c r="S7" s="65"/>
      <c r="T7" s="65"/>
      <c r="U7" s="65" t="inlineStr">
        <is>
          <t xml:space="preserve">PA 3</t>
        </is>
      </c>
    </row>
    <row r="8" ht="39.75" customHeight="1">
      <c r="A8" s="63" t="s">
        <v>931</v>
      </c>
      <c r="B8" s="64" t="s">
        <v>958</v>
      </c>
      <c r="C8" s="65" t="s">
        <v>959</v>
      </c>
      <c r="D8" s="65" t="s">
        <v>960</v>
      </c>
      <c r="E8" s="65" t="s">
        <v>961</v>
      </c>
      <c r="F8" s="65" t="s">
        <v>290</v>
      </c>
      <c r="G8" s="65" t="s">
        <v>962</v>
      </c>
      <c r="H8" s="65" t="s">
        <v>938</v>
      </c>
      <c r="I8" s="65" t="s">
        <v>282</v>
      </c>
      <c r="J8" s="66"/>
      <c r="K8" s="65"/>
      <c r="L8" s="65"/>
      <c r="M8" s="65"/>
      <c r="N8" s="65"/>
      <c r="O8" s="66">
        <v>5</v>
      </c>
      <c r="P8" s="66" t="str">
        <f t="shared" si="0"/>
        <v/>
      </c>
      <c r="Q8" s="65" t="s">
        <v>963</v>
      </c>
      <c r="R8" s="65" t="s">
        <v>964</v>
      </c>
      <c r="S8" s="65"/>
      <c r="T8" s="65"/>
      <c r="U8" s="65" t="inlineStr">
        <is>
          <t xml:space="preserve">PA 3</t>
        </is>
      </c>
    </row>
    <row r="9" ht="39.75" customHeight="1">
      <c r="A9" s="63" t="s">
        <v>931</v>
      </c>
      <c r="B9" s="64" t="s">
        <v>965</v>
      </c>
      <c r="C9" s="65" t="s">
        <v>966</v>
      </c>
      <c r="D9" s="65" t="s">
        <v>967</v>
      </c>
      <c r="E9" s="65" t="s">
        <v>968</v>
      </c>
      <c r="F9" s="65" t="s">
        <v>969</v>
      </c>
      <c r="G9" s="65" t="s">
        <v>970</v>
      </c>
      <c r="H9" s="65" t="s">
        <v>938</v>
      </c>
      <c r="I9" s="65" t="s">
        <v>282</v>
      </c>
      <c r="J9" s="66"/>
      <c r="K9" s="65"/>
      <c r="L9" s="65"/>
      <c r="M9" s="65"/>
      <c r="N9" s="65"/>
      <c r="O9" s="66">
        <v>4</v>
      </c>
      <c r="P9" s="66" t="str">
        <f t="shared" si="0"/>
        <v/>
      </c>
      <c r="Q9" s="65" t="s">
        <v>971</v>
      </c>
      <c r="R9" s="65" t="s">
        <v>972</v>
      </c>
      <c r="S9" s="65"/>
      <c r="T9" s="65"/>
      <c r="U9" s="65" t="inlineStr">
        <is>
          <t xml:space="preserve">PA 3, PA 7</t>
        </is>
      </c>
    </row>
    <row r="10" ht="39.75" customHeight="1">
      <c r="A10" s="67" t="s">
        <v>973</v>
      </c>
      <c r="B10" s="64" t="s">
        <v>974</v>
      </c>
      <c r="C10" s="65" t="s">
        <v>975</v>
      </c>
      <c r="D10" s="65" t="s">
        <v>976</v>
      </c>
      <c r="E10" s="65" t="s">
        <v>961</v>
      </c>
      <c r="F10" s="65" t="s">
        <v>290</v>
      </c>
      <c r="G10" s="65" t="s">
        <v>977</v>
      </c>
      <c r="H10" s="65" t="s">
        <v>978</v>
      </c>
      <c r="I10" s="65" t="s">
        <v>282</v>
      </c>
      <c r="J10" s="66"/>
      <c r="K10" s="65"/>
      <c r="L10" s="65"/>
      <c r="M10" s="65"/>
      <c r="N10" s="65"/>
      <c r="O10" s="66">
        <v>5</v>
      </c>
      <c r="P10" s="66" t="str">
        <f t="shared" ref="P10:P37" si="1">IF(J10="","",O10*J10)</f>
        <v/>
      </c>
      <c r="Q10" s="65" t="s">
        <v>979</v>
      </c>
      <c r="R10" s="65" t="s">
        <v>980</v>
      </c>
      <c r="S10" s="65"/>
      <c r="T10" s="65"/>
      <c r="U10" s="65" t="inlineStr">
        <is>
          <t xml:space="preserve">PA 2</t>
        </is>
      </c>
    </row>
    <row r="11" ht="39.75" customHeight="1">
      <c r="A11" s="67" t="s">
        <v>973</v>
      </c>
      <c r="B11" s="64" t="s">
        <v>981</v>
      </c>
      <c r="C11" s="65" t="s">
        <v>982</v>
      </c>
      <c r="D11" s="65" t="s">
        <v>983</v>
      </c>
      <c r="E11" s="65" t="s">
        <v>961</v>
      </c>
      <c r="F11" s="65" t="s">
        <v>332</v>
      </c>
      <c r="G11" s="65" t="s">
        <v>984</v>
      </c>
      <c r="H11" s="65" t="s">
        <v>978</v>
      </c>
      <c r="I11" s="65" t="s">
        <v>282</v>
      </c>
      <c r="J11" s="66"/>
      <c r="K11" s="65"/>
      <c r="L11" s="65"/>
      <c r="M11" s="65"/>
      <c r="N11" s="65"/>
      <c r="O11" s="66">
        <v>3</v>
      </c>
      <c r="P11" s="66" t="str">
        <f t="shared" si="1"/>
        <v/>
      </c>
      <c r="Q11" s="65" t="s">
        <v>289</v>
      </c>
      <c r="R11" s="65"/>
      <c r="S11" s="65"/>
      <c r="T11" s="65"/>
      <c r="U11" s="65" t="inlineStr">
        <is>
          <t xml:space="preserve">PA 4</t>
        </is>
      </c>
    </row>
    <row r="12" ht="39.75" customHeight="1">
      <c r="A12" s="67" t="s">
        <v>973</v>
      </c>
      <c r="B12" s="64" t="s">
        <v>985</v>
      </c>
      <c r="C12" s="65" t="s">
        <v>986</v>
      </c>
      <c r="D12" s="65" t="s">
        <v>987</v>
      </c>
      <c r="E12" s="65" t="s">
        <v>961</v>
      </c>
      <c r="F12" s="65" t="s">
        <v>332</v>
      </c>
      <c r="G12" s="65" t="s">
        <v>988</v>
      </c>
      <c r="H12" s="65" t="s">
        <v>159</v>
      </c>
      <c r="I12" s="65" t="s">
        <v>282</v>
      </c>
      <c r="J12" s="66"/>
      <c r="K12" s="65"/>
      <c r="L12" s="65"/>
      <c r="M12" s="65"/>
      <c r="N12" s="65"/>
      <c r="O12" s="66">
        <v>5</v>
      </c>
      <c r="P12" s="66" t="str">
        <f t="shared" si="1"/>
        <v/>
      </c>
      <c r="Q12" s="65" t="s">
        <v>354</v>
      </c>
      <c r="R12" s="65" t="s">
        <v>989</v>
      </c>
      <c r="S12" s="65"/>
      <c r="T12" s="65"/>
      <c r="U12" s="65" t="inlineStr">
        <is>
          <t xml:space="preserve">—</t>
        </is>
      </c>
    </row>
    <row r="13" ht="39.75" customHeight="1">
      <c r="A13" s="67" t="s">
        <v>973</v>
      </c>
      <c r="B13" s="64" t="s">
        <v>990</v>
      </c>
      <c r="C13" s="65" t="s">
        <v>991</v>
      </c>
      <c r="D13" s="65" t="s">
        <v>992</v>
      </c>
      <c r="E13" s="65" t="s">
        <v>961</v>
      </c>
      <c r="F13" s="65" t="s">
        <v>332</v>
      </c>
      <c r="G13" s="65" t="s">
        <v>993</v>
      </c>
      <c r="H13" s="65" t="s">
        <v>159</v>
      </c>
      <c r="I13" s="65" t="s">
        <v>282</v>
      </c>
      <c r="J13" s="66"/>
      <c r="K13" s="65"/>
      <c r="L13" s="65"/>
      <c r="M13" s="65"/>
      <c r="N13" s="65"/>
      <c r="O13" s="66">
        <v>4</v>
      </c>
      <c r="P13" s="66" t="str">
        <f t="shared" si="1"/>
        <v/>
      </c>
      <c r="Q13" s="65" t="s">
        <v>354</v>
      </c>
      <c r="R13" s="65" t="s">
        <v>989</v>
      </c>
      <c r="S13" s="65"/>
      <c r="T13" s="65"/>
      <c r="U13" s="65" t="inlineStr">
        <is>
          <t xml:space="preserve">—</t>
        </is>
      </c>
    </row>
    <row r="14" ht="39.75" customHeight="1">
      <c r="A14" s="67" t="s">
        <v>973</v>
      </c>
      <c r="B14" s="64" t="s">
        <v>994</v>
      </c>
      <c r="C14" s="65" t="s">
        <v>995</v>
      </c>
      <c r="D14" s="65" t="s">
        <v>996</v>
      </c>
      <c r="E14" s="65" t="s">
        <v>961</v>
      </c>
      <c r="F14" s="65" t="s">
        <v>332</v>
      </c>
      <c r="G14" s="65" t="s">
        <v>997</v>
      </c>
      <c r="H14" s="65" t="s">
        <v>159</v>
      </c>
      <c r="I14" s="65" t="s">
        <v>282</v>
      </c>
      <c r="J14" s="66"/>
      <c r="K14" s="65"/>
      <c r="L14" s="65"/>
      <c r="M14" s="65"/>
      <c r="N14" s="65"/>
      <c r="O14" s="66">
        <v>4</v>
      </c>
      <c r="P14" s="66" t="str">
        <f t="shared" si="1"/>
        <v/>
      </c>
      <c r="Q14" s="65" t="s">
        <v>734</v>
      </c>
      <c r="R14" s="65" t="s">
        <v>998</v>
      </c>
      <c r="S14" s="65"/>
      <c r="T14" s="65"/>
      <c r="U14" s="65" t="inlineStr">
        <is>
          <t xml:space="preserve">PA 6</t>
        </is>
      </c>
    </row>
    <row r="15" ht="39.75" customHeight="1">
      <c r="A15" s="67" t="s">
        <v>973</v>
      </c>
      <c r="B15" s="64" t="s">
        <v>999</v>
      </c>
      <c r="C15" s="65" t="s">
        <v>1000</v>
      </c>
      <c r="D15" s="65" t="s">
        <v>1001</v>
      </c>
      <c r="E15" s="65" t="s">
        <v>961</v>
      </c>
      <c r="F15" s="65" t="s">
        <v>332</v>
      </c>
      <c r="G15" s="65" t="s">
        <v>1002</v>
      </c>
      <c r="H15" s="65" t="s">
        <v>159</v>
      </c>
      <c r="I15" s="65" t="s">
        <v>282</v>
      </c>
      <c r="J15" s="66"/>
      <c r="K15" s="65"/>
      <c r="L15" s="65"/>
      <c r="M15" s="65"/>
      <c r="N15" s="65"/>
      <c r="O15" s="66">
        <v>4</v>
      </c>
      <c r="P15" s="66" t="str">
        <f t="shared" si="1"/>
        <v/>
      </c>
      <c r="Q15" s="65" t="s">
        <v>316</v>
      </c>
      <c r="R15" s="65" t="s">
        <v>1003</v>
      </c>
      <c r="S15" s="65"/>
      <c r="T15" s="65"/>
      <c r="U15" s="65" t="inlineStr">
        <is>
          <t xml:space="preserve">PA 10</t>
        </is>
      </c>
    </row>
    <row r="16" ht="39.75" customHeight="1">
      <c r="A16" s="67" t="s">
        <v>973</v>
      </c>
      <c r="B16" s="64" t="s">
        <v>1004</v>
      </c>
      <c r="C16" s="65" t="s">
        <v>1005</v>
      </c>
      <c r="D16" s="65" t="s">
        <v>1006</v>
      </c>
      <c r="E16" s="65" t="s">
        <v>1007</v>
      </c>
      <c r="F16" s="65" t="s">
        <v>1008</v>
      </c>
      <c r="G16" s="65" t="s">
        <v>1009</v>
      </c>
      <c r="H16" s="65" t="s">
        <v>82</v>
      </c>
      <c r="I16" s="65" t="s">
        <v>282</v>
      </c>
      <c r="J16" s="66"/>
      <c r="K16" s="65"/>
      <c r="L16" s="65"/>
      <c r="M16" s="65"/>
      <c r="N16" s="65"/>
      <c r="O16" s="66">
        <v>3</v>
      </c>
      <c r="P16" s="66" t="str">
        <f t="shared" si="1"/>
        <v/>
      </c>
      <c r="Q16" s="65" t="s">
        <v>316</v>
      </c>
      <c r="R16" s="65" t="s">
        <v>1010</v>
      </c>
      <c r="S16" s="65"/>
      <c r="T16" s="65"/>
      <c r="U16" s="65" t="inlineStr">
        <is>
          <t xml:space="preserve">—</t>
        </is>
      </c>
    </row>
    <row r="17" ht="39.75" customHeight="1">
      <c r="A17" s="68" t="s">
        <v>1011</v>
      </c>
      <c r="B17" s="64" t="s">
        <v>1012</v>
      </c>
      <c r="C17" s="65" t="s">
        <v>1013</v>
      </c>
      <c r="D17" s="65" t="s">
        <v>1014</v>
      </c>
      <c r="E17" s="65" t="s">
        <v>949</v>
      </c>
      <c r="F17" s="65" t="s">
        <v>332</v>
      </c>
      <c r="G17" s="65" t="s">
        <v>955</v>
      </c>
      <c r="H17" s="65" t="s">
        <v>956</v>
      </c>
      <c r="I17" s="65" t="s">
        <v>282</v>
      </c>
      <c r="J17" s="66"/>
      <c r="K17" s="65"/>
      <c r="L17" s="65"/>
      <c r="M17" s="65"/>
      <c r="N17" s="65"/>
      <c r="O17" s="66">
        <v>5</v>
      </c>
      <c r="P17" s="66" t="str">
        <f t="shared" si="1"/>
        <v/>
      </c>
      <c r="Q17" s="65" t="s">
        <v>343</v>
      </c>
      <c r="R17" s="65" t="s">
        <v>1015</v>
      </c>
      <c r="S17" s="65"/>
      <c r="T17" s="65"/>
      <c r="U17" s="65" t="inlineStr">
        <is>
          <t xml:space="preserve">PA 3, PA 8</t>
        </is>
      </c>
    </row>
    <row r="18" ht="39.75" customHeight="1">
      <c r="A18" s="68" t="s">
        <v>1011</v>
      </c>
      <c r="B18" s="64" t="s">
        <v>1016</v>
      </c>
      <c r="C18" s="65" t="s">
        <v>1017</v>
      </c>
      <c r="D18" s="65" t="s">
        <v>1018</v>
      </c>
      <c r="E18" s="65" t="s">
        <v>949</v>
      </c>
      <c r="F18" s="65" t="s">
        <v>332</v>
      </c>
      <c r="G18" s="65" t="s">
        <v>955</v>
      </c>
      <c r="H18" s="65" t="s">
        <v>956</v>
      </c>
      <c r="I18" s="65" t="s">
        <v>282</v>
      </c>
      <c r="J18" s="66"/>
      <c r="K18" s="65"/>
      <c r="L18" s="65"/>
      <c r="M18" s="65"/>
      <c r="N18" s="65"/>
      <c r="O18" s="66">
        <v>4</v>
      </c>
      <c r="P18" s="66" t="str">
        <f t="shared" si="1"/>
        <v/>
      </c>
      <c r="Q18" s="65" t="s">
        <v>343</v>
      </c>
      <c r="R18" s="65" t="s">
        <v>1019</v>
      </c>
      <c r="S18" s="65"/>
      <c r="T18" s="65"/>
      <c r="U18" s="65" t="inlineStr">
        <is>
          <t xml:space="preserve">PA 3, PA 8</t>
        </is>
      </c>
    </row>
    <row r="19" ht="39.75" customHeight="1">
      <c r="A19" s="68" t="s">
        <v>1011</v>
      </c>
      <c r="B19" s="64" t="s">
        <v>1020</v>
      </c>
      <c r="C19" s="65" t="s">
        <v>1021</v>
      </c>
      <c r="D19" s="65" t="s">
        <v>1022</v>
      </c>
      <c r="E19" s="65" t="s">
        <v>949</v>
      </c>
      <c r="F19" s="65" t="s">
        <v>332</v>
      </c>
      <c r="G19" s="65" t="s">
        <v>1023</v>
      </c>
      <c r="H19" s="65" t="s">
        <v>956</v>
      </c>
      <c r="I19" s="65" t="s">
        <v>282</v>
      </c>
      <c r="J19" s="66"/>
      <c r="K19" s="65"/>
      <c r="L19" s="65"/>
      <c r="M19" s="65"/>
      <c r="N19" s="65"/>
      <c r="O19" s="66">
        <v>4</v>
      </c>
      <c r="P19" s="66" t="str">
        <f t="shared" si="1"/>
        <v/>
      </c>
      <c r="Q19" s="65" t="s">
        <v>343</v>
      </c>
      <c r="R19" s="65" t="s">
        <v>1024</v>
      </c>
      <c r="S19" s="65"/>
      <c r="T19" s="65"/>
      <c r="U19" s="65" t="inlineStr">
        <is>
          <t xml:space="preserve">PA 3, PA 8</t>
        </is>
      </c>
    </row>
    <row r="20" ht="39.75" customHeight="1">
      <c r="A20" s="68" t="s">
        <v>1011</v>
      </c>
      <c r="B20" s="64" t="s">
        <v>1025</v>
      </c>
      <c r="C20" s="65" t="s">
        <v>1026</v>
      </c>
      <c r="D20" s="65" t="s">
        <v>1027</v>
      </c>
      <c r="E20" s="65" t="s">
        <v>949</v>
      </c>
      <c r="F20" s="65" t="s">
        <v>332</v>
      </c>
      <c r="G20" s="65" t="s">
        <v>1028</v>
      </c>
      <c r="H20" s="65" t="s">
        <v>956</v>
      </c>
      <c r="I20" s="65" t="s">
        <v>282</v>
      </c>
      <c r="J20" s="66"/>
      <c r="K20" s="65"/>
      <c r="L20" s="65"/>
      <c r="M20" s="65"/>
      <c r="N20" s="65"/>
      <c r="O20" s="66">
        <v>3</v>
      </c>
      <c r="P20" s="66" t="str">
        <f t="shared" si="1"/>
        <v/>
      </c>
      <c r="Q20" s="65" t="s">
        <v>343</v>
      </c>
      <c r="R20" s="65"/>
      <c r="S20" s="65"/>
      <c r="T20" s="65"/>
      <c r="U20" s="65" t="inlineStr">
        <is>
          <t xml:space="preserve">—</t>
        </is>
      </c>
    </row>
    <row r="21" ht="39.75" customHeight="1">
      <c r="A21" s="68" t="s">
        <v>1011</v>
      </c>
      <c r="B21" s="64" t="s">
        <v>1029</v>
      </c>
      <c r="C21" s="65" t="s">
        <v>1030</v>
      </c>
      <c r="D21" s="65" t="s">
        <v>1031</v>
      </c>
      <c r="E21" s="65" t="s">
        <v>949</v>
      </c>
      <c r="F21" s="65" t="s">
        <v>332</v>
      </c>
      <c r="G21" s="65" t="s">
        <v>546</v>
      </c>
      <c r="H21" s="65" t="s">
        <v>956</v>
      </c>
      <c r="I21" s="65" t="s">
        <v>282</v>
      </c>
      <c r="J21" s="66"/>
      <c r="K21" s="65"/>
      <c r="L21" s="65"/>
      <c r="M21" s="65"/>
      <c r="N21" s="65"/>
      <c r="O21" s="66">
        <v>3</v>
      </c>
      <c r="P21" s="66" t="str">
        <f t="shared" si="1"/>
        <v/>
      </c>
      <c r="Q21" s="65" t="s">
        <v>343</v>
      </c>
      <c r="R21" s="65"/>
      <c r="S21" s="65"/>
      <c r="T21" s="65"/>
      <c r="U21" s="65" t="inlineStr">
        <is>
          <t xml:space="preserve">—</t>
        </is>
      </c>
    </row>
    <row r="22" ht="39.75" customHeight="1">
      <c r="A22" s="68" t="s">
        <v>1011</v>
      </c>
      <c r="B22" s="64" t="s">
        <v>1032</v>
      </c>
      <c r="C22" s="65" t="s">
        <v>1033</v>
      </c>
      <c r="D22" s="65" t="s">
        <v>1034</v>
      </c>
      <c r="E22" s="65" t="s">
        <v>1035</v>
      </c>
      <c r="F22" s="65" t="s">
        <v>332</v>
      </c>
      <c r="G22" s="65" t="s">
        <v>1036</v>
      </c>
      <c r="H22" s="65" t="s">
        <v>1037</v>
      </c>
      <c r="I22" s="65" t="s">
        <v>282</v>
      </c>
      <c r="J22" s="66"/>
      <c r="K22" s="65"/>
      <c r="L22" s="65"/>
      <c r="M22" s="65"/>
      <c r="N22" s="65"/>
      <c r="O22" s="66">
        <v>4</v>
      </c>
      <c r="P22" s="66" t="str">
        <f t="shared" si="1"/>
        <v/>
      </c>
      <c r="Q22" s="65" t="s">
        <v>545</v>
      </c>
      <c r="R22" s="65" t="s">
        <v>1038</v>
      </c>
      <c r="S22" s="65"/>
      <c r="T22" s="65"/>
      <c r="U22" s="65" t="inlineStr">
        <is>
          <t xml:space="preserve">—</t>
        </is>
      </c>
    </row>
    <row r="23" ht="39.75" customHeight="1">
      <c r="A23" s="68" t="s">
        <v>1011</v>
      </c>
      <c r="B23" s="64" t="s">
        <v>1039</v>
      </c>
      <c r="C23" s="65" t="s">
        <v>1040</v>
      </c>
      <c r="D23" s="65" t="s">
        <v>1041</v>
      </c>
      <c r="E23" s="65" t="s">
        <v>949</v>
      </c>
      <c r="F23" s="65" t="s">
        <v>332</v>
      </c>
      <c r="G23" s="65" t="s">
        <v>955</v>
      </c>
      <c r="H23" s="65" t="s">
        <v>956</v>
      </c>
      <c r="I23" s="65" t="s">
        <v>282</v>
      </c>
      <c r="J23" s="66"/>
      <c r="K23" s="65"/>
      <c r="L23" s="65"/>
      <c r="M23" s="65"/>
      <c r="N23" s="65"/>
      <c r="O23" s="66">
        <v>5</v>
      </c>
      <c r="P23" s="66" t="str">
        <f t="shared" si="1"/>
        <v/>
      </c>
      <c r="Q23" s="65" t="s">
        <v>343</v>
      </c>
      <c r="R23" s="65" t="s">
        <v>1015</v>
      </c>
      <c r="S23" s="65"/>
      <c r="T23" s="65"/>
      <c r="U23" s="65" t="inlineStr">
        <is>
          <t xml:space="preserve">PA 3, PA 8</t>
        </is>
      </c>
    </row>
    <row r="24" ht="39.75" customHeight="1">
      <c r="A24" s="68" t="s">
        <v>1011</v>
      </c>
      <c r="B24" s="64" t="s">
        <v>1042</v>
      </c>
      <c r="C24" s="65" t="s">
        <v>1043</v>
      </c>
      <c r="D24" s="65" t="s">
        <v>1044</v>
      </c>
      <c r="E24" s="65" t="s">
        <v>949</v>
      </c>
      <c r="F24" s="65" t="s">
        <v>332</v>
      </c>
      <c r="G24" s="65" t="s">
        <v>1045</v>
      </c>
      <c r="H24" s="65" t="s">
        <v>1046</v>
      </c>
      <c r="I24" s="65" t="s">
        <v>282</v>
      </c>
      <c r="J24" s="66"/>
      <c r="K24" s="65"/>
      <c r="L24" s="65"/>
      <c r="M24" s="65"/>
      <c r="N24" s="65"/>
      <c r="O24" s="66">
        <v>5</v>
      </c>
      <c r="P24" s="66" t="str">
        <f t="shared" si="1"/>
        <v/>
      </c>
      <c r="Q24" s="65" t="s">
        <v>550</v>
      </c>
      <c r="R24" s="65"/>
      <c r="S24" s="65"/>
      <c r="T24" s="65"/>
      <c r="U24" s="65" t="inlineStr">
        <is>
          <t xml:space="preserve">PA 1, PA 11</t>
        </is>
      </c>
    </row>
    <row r="25" ht="39.75" customHeight="1">
      <c r="A25" s="68" t="s">
        <v>1011</v>
      </c>
      <c r="B25" s="64" t="s">
        <v>1047</v>
      </c>
      <c r="C25" s="65" t="s">
        <v>1048</v>
      </c>
      <c r="D25" s="65" t="s">
        <v>1049</v>
      </c>
      <c r="E25" s="65" t="s">
        <v>949</v>
      </c>
      <c r="F25" s="65" t="s">
        <v>332</v>
      </c>
      <c r="G25" s="65" t="s">
        <v>1050</v>
      </c>
      <c r="H25" s="65" t="s">
        <v>1046</v>
      </c>
      <c r="I25" s="65" t="s">
        <v>282</v>
      </c>
      <c r="J25" s="66"/>
      <c r="K25" s="65"/>
      <c r="L25" s="65"/>
      <c r="M25" s="65"/>
      <c r="N25" s="65"/>
      <c r="O25" s="66">
        <v>4</v>
      </c>
      <c r="P25" s="66" t="str">
        <f t="shared" si="1"/>
        <v/>
      </c>
      <c r="Q25" s="65" t="s">
        <v>550</v>
      </c>
      <c r="R25" s="65" t="s">
        <v>1051</v>
      </c>
      <c r="S25" s="65"/>
      <c r="T25" s="65"/>
      <c r="U25" s="65" t="inlineStr">
        <is>
          <t xml:space="preserve">PA 1</t>
        </is>
      </c>
    </row>
    <row r="26" ht="39.75" customHeight="1">
      <c r="A26" s="68" t="s">
        <v>1011</v>
      </c>
      <c r="B26" s="64" t="s">
        <v>1052</v>
      </c>
      <c r="C26" s="65" t="s">
        <v>1053</v>
      </c>
      <c r="D26" s="65" t="s">
        <v>1054</v>
      </c>
      <c r="E26" s="65" t="s">
        <v>1035</v>
      </c>
      <c r="F26" s="65" t="s">
        <v>332</v>
      </c>
      <c r="G26" s="65" t="s">
        <v>1055</v>
      </c>
      <c r="H26" s="65" t="s">
        <v>129</v>
      </c>
      <c r="I26" s="65" t="s">
        <v>282</v>
      </c>
      <c r="J26" s="66"/>
      <c r="K26" s="65"/>
      <c r="L26" s="65"/>
      <c r="M26" s="65"/>
      <c r="N26" s="65"/>
      <c r="O26" s="66">
        <v>4</v>
      </c>
      <c r="P26" s="66" t="str">
        <f t="shared" si="1"/>
        <v/>
      </c>
      <c r="Q26" s="65" t="s">
        <v>354</v>
      </c>
      <c r="R26" s="65"/>
      <c r="S26" s="65"/>
      <c r="T26" s="65"/>
      <c r="U26" s="65" t="inlineStr">
        <is>
          <t xml:space="preserve">PA 5</t>
        </is>
      </c>
    </row>
    <row r="27" ht="39.75" customHeight="1">
      <c r="A27" s="68" t="s">
        <v>1011</v>
      </c>
      <c r="B27" s="64" t="s">
        <v>1056</v>
      </c>
      <c r="C27" s="65" t="s">
        <v>1057</v>
      </c>
      <c r="D27" s="65" t="s">
        <v>1058</v>
      </c>
      <c r="E27" s="65" t="s">
        <v>1035</v>
      </c>
      <c r="F27" s="65" t="s">
        <v>332</v>
      </c>
      <c r="G27" s="65" t="s">
        <v>1059</v>
      </c>
      <c r="H27" s="65" t="s">
        <v>1037</v>
      </c>
      <c r="I27" s="65" t="s">
        <v>282</v>
      </c>
      <c r="J27" s="66"/>
      <c r="K27" s="65"/>
      <c r="L27" s="65"/>
      <c r="M27" s="65"/>
      <c r="N27" s="65"/>
      <c r="O27" s="66">
        <v>5</v>
      </c>
      <c r="P27" s="66" t="str">
        <f t="shared" si="1"/>
        <v/>
      </c>
      <c r="Q27" s="65" t="s">
        <v>569</v>
      </c>
      <c r="R27" s="65" t="s">
        <v>1060</v>
      </c>
      <c r="S27" s="65"/>
      <c r="T27" s="65"/>
      <c r="U27" s="65" t="inlineStr">
        <is>
          <t xml:space="preserve">PA 3, PA 9, PA 10</t>
        </is>
      </c>
    </row>
    <row r="28" ht="39.75" customHeight="1">
      <c r="A28" s="68" t="s">
        <v>1011</v>
      </c>
      <c r="B28" s="64" t="s">
        <v>1061</v>
      </c>
      <c r="C28" s="65" t="s">
        <v>1062</v>
      </c>
      <c r="D28" s="65" t="s">
        <v>1063</v>
      </c>
      <c r="E28" s="65" t="s">
        <v>1035</v>
      </c>
      <c r="F28" s="65" t="s">
        <v>332</v>
      </c>
      <c r="G28" s="65" t="s">
        <v>1064</v>
      </c>
      <c r="H28" s="65" t="s">
        <v>1037</v>
      </c>
      <c r="I28" s="65" t="s">
        <v>282</v>
      </c>
      <c r="J28" s="66"/>
      <c r="K28" s="65"/>
      <c r="L28" s="65"/>
      <c r="M28" s="65"/>
      <c r="N28" s="65"/>
      <c r="O28" s="66">
        <v>4</v>
      </c>
      <c r="P28" s="66" t="str">
        <f t="shared" si="1"/>
        <v/>
      </c>
      <c r="Q28" s="65" t="s">
        <v>569</v>
      </c>
      <c r="R28" s="65" t="s">
        <v>1060</v>
      </c>
      <c r="S28" s="65"/>
      <c r="T28" s="65"/>
      <c r="U28" s="65" t="inlineStr">
        <is>
          <t xml:space="preserve">PA 9</t>
        </is>
      </c>
    </row>
    <row r="29" ht="39.75" customHeight="1">
      <c r="A29" s="68" t="s">
        <v>1011</v>
      </c>
      <c r="B29" s="64" t="s">
        <v>1065</v>
      </c>
      <c r="C29" s="65" t="s">
        <v>1066</v>
      </c>
      <c r="D29" s="65" t="s">
        <v>1067</v>
      </c>
      <c r="E29" s="65" t="s">
        <v>1035</v>
      </c>
      <c r="F29" s="65" t="s">
        <v>332</v>
      </c>
      <c r="G29" s="65" t="s">
        <v>1068</v>
      </c>
      <c r="H29" s="65" t="s">
        <v>1037</v>
      </c>
      <c r="I29" s="65" t="s">
        <v>282</v>
      </c>
      <c r="J29" s="66"/>
      <c r="K29" s="65"/>
      <c r="L29" s="65"/>
      <c r="M29" s="65"/>
      <c r="N29" s="65"/>
      <c r="O29" s="66">
        <v>4</v>
      </c>
      <c r="P29" s="66" t="str">
        <f t="shared" si="1"/>
        <v/>
      </c>
      <c r="Q29" s="65" t="s">
        <v>569</v>
      </c>
      <c r="R29" s="65" t="s">
        <v>1069</v>
      </c>
      <c r="S29" s="65"/>
      <c r="T29" s="65"/>
      <c r="U29" s="65" t="inlineStr">
        <is>
          <t xml:space="preserve">—</t>
        </is>
      </c>
    </row>
    <row r="30" ht="39.75" customHeight="1">
      <c r="A30" s="68" t="s">
        <v>1011</v>
      </c>
      <c r="B30" s="64" t="s">
        <v>1070</v>
      </c>
      <c r="C30" s="65" t="s">
        <v>1071</v>
      </c>
      <c r="D30" s="65" t="s">
        <v>1072</v>
      </c>
      <c r="E30" s="65" t="s">
        <v>1035</v>
      </c>
      <c r="F30" s="65" t="s">
        <v>332</v>
      </c>
      <c r="G30" s="65" t="s">
        <v>1073</v>
      </c>
      <c r="H30" s="65" t="s">
        <v>1037</v>
      </c>
      <c r="I30" s="65" t="s">
        <v>282</v>
      </c>
      <c r="J30" s="66"/>
      <c r="K30" s="65"/>
      <c r="L30" s="65"/>
      <c r="M30" s="65"/>
      <c r="N30" s="65"/>
      <c r="O30" s="66">
        <v>4</v>
      </c>
      <c r="P30" s="66" t="str">
        <f t="shared" si="1"/>
        <v/>
      </c>
      <c r="Q30" s="65" t="s">
        <v>569</v>
      </c>
      <c r="R30" s="65" t="s">
        <v>1074</v>
      </c>
      <c r="S30" s="65"/>
      <c r="T30" s="65"/>
      <c r="U30" s="65" t="inlineStr">
        <is>
          <t xml:space="preserve">—</t>
        </is>
      </c>
    </row>
    <row r="31" ht="39.75" customHeight="1">
      <c r="A31" s="68" t="s">
        <v>1011</v>
      </c>
      <c r="B31" s="64" t="s">
        <v>1075</v>
      </c>
      <c r="C31" s="65" t="s">
        <v>1076</v>
      </c>
      <c r="D31" s="65" t="s">
        <v>1077</v>
      </c>
      <c r="E31" s="65" t="s">
        <v>1035</v>
      </c>
      <c r="F31" s="65" t="s">
        <v>332</v>
      </c>
      <c r="G31" s="65" t="s">
        <v>1078</v>
      </c>
      <c r="H31" s="65" t="s">
        <v>1037</v>
      </c>
      <c r="I31" s="65" t="s">
        <v>282</v>
      </c>
      <c r="J31" s="66"/>
      <c r="K31" s="65"/>
      <c r="L31" s="65"/>
      <c r="M31" s="65"/>
      <c r="N31" s="65"/>
      <c r="O31" s="66">
        <v>4</v>
      </c>
      <c r="P31" s="66" t="str">
        <f t="shared" si="1"/>
        <v/>
      </c>
      <c r="Q31" s="65" t="s">
        <v>1079</v>
      </c>
      <c r="R31" s="65" t="s">
        <v>1080</v>
      </c>
      <c r="S31" s="65"/>
      <c r="T31" s="65"/>
      <c r="U31" s="65" t="inlineStr">
        <is>
          <t xml:space="preserve">PA 11</t>
        </is>
      </c>
    </row>
    <row r="32" ht="39.75" customHeight="1">
      <c r="A32" s="68" t="s">
        <v>1011</v>
      </c>
      <c r="B32" s="64" t="s">
        <v>1081</v>
      </c>
      <c r="C32" s="65" t="s">
        <v>1082</v>
      </c>
      <c r="D32" s="65" t="s">
        <v>1083</v>
      </c>
      <c r="E32" s="65" t="s">
        <v>1035</v>
      </c>
      <c r="F32" s="65" t="s">
        <v>332</v>
      </c>
      <c r="G32" s="65" t="s">
        <v>1084</v>
      </c>
      <c r="H32" s="65" t="s">
        <v>1037</v>
      </c>
      <c r="I32" s="65" t="s">
        <v>282</v>
      </c>
      <c r="J32" s="66"/>
      <c r="K32" s="65"/>
      <c r="L32" s="65"/>
      <c r="M32" s="65"/>
      <c r="N32" s="65"/>
      <c r="O32" s="66">
        <v>3</v>
      </c>
      <c r="P32" s="66" t="str">
        <f t="shared" si="1"/>
        <v/>
      </c>
      <c r="Q32" s="65" t="s">
        <v>1079</v>
      </c>
      <c r="R32" s="65" t="s">
        <v>1085</v>
      </c>
      <c r="S32" s="65"/>
      <c r="T32" s="65"/>
      <c r="U32" s="65" t="inlineStr">
        <is>
          <t xml:space="preserve">PA 10</t>
        </is>
      </c>
    </row>
    <row r="33" ht="39.75" customHeight="1">
      <c r="A33" s="69" t="s">
        <v>1086</v>
      </c>
      <c r="B33" s="64" t="s">
        <v>1087</v>
      </c>
      <c r="C33" s="65" t="s">
        <v>1088</v>
      </c>
      <c r="D33" s="65" t="s">
        <v>1089</v>
      </c>
      <c r="E33" s="65" t="s">
        <v>1007</v>
      </c>
      <c r="F33" s="65" t="s">
        <v>1008</v>
      </c>
      <c r="G33" s="65" t="s">
        <v>1009</v>
      </c>
      <c r="H33" s="65" t="s">
        <v>1090</v>
      </c>
      <c r="I33" s="65" t="s">
        <v>282</v>
      </c>
      <c r="J33" s="66"/>
      <c r="K33" s="65"/>
      <c r="L33" s="65"/>
      <c r="M33" s="65"/>
      <c r="N33" s="65"/>
      <c r="O33" s="66">
        <v>3</v>
      </c>
      <c r="P33" s="66" t="str">
        <f t="shared" si="1"/>
        <v/>
      </c>
      <c r="Q33" s="65" t="s">
        <v>316</v>
      </c>
      <c r="R33" s="65" t="s">
        <v>1010</v>
      </c>
      <c r="S33" s="65"/>
      <c r="T33" s="65"/>
      <c r="U33" s="65" t="inlineStr">
        <is>
          <t xml:space="preserve">—</t>
        </is>
      </c>
    </row>
    <row r="34" ht="39.75" customHeight="1">
      <c r="A34" s="69" t="s">
        <v>1086</v>
      </c>
      <c r="B34" s="64" t="s">
        <v>1091</v>
      </c>
      <c r="C34" s="65" t="s">
        <v>1092</v>
      </c>
      <c r="D34" s="65" t="s">
        <v>1093</v>
      </c>
      <c r="E34" s="65" t="s">
        <v>1007</v>
      </c>
      <c r="F34" s="65" t="s">
        <v>1008</v>
      </c>
      <c r="G34" s="65" t="s">
        <v>1094</v>
      </c>
      <c r="H34" s="65" t="s">
        <v>1090</v>
      </c>
      <c r="I34" s="65" t="s">
        <v>282</v>
      </c>
      <c r="J34" s="66"/>
      <c r="K34" s="65"/>
      <c r="L34" s="65"/>
      <c r="M34" s="65"/>
      <c r="N34" s="65"/>
      <c r="O34" s="66">
        <v>3</v>
      </c>
      <c r="P34" s="66" t="str">
        <f t="shared" si="1"/>
        <v/>
      </c>
      <c r="Q34" s="65" t="s">
        <v>316</v>
      </c>
      <c r="R34" s="65" t="s">
        <v>1095</v>
      </c>
      <c r="S34" s="65"/>
      <c r="T34" s="65"/>
      <c r="U34" s="65" t="inlineStr">
        <is>
          <t xml:space="preserve">—</t>
        </is>
      </c>
    </row>
    <row r="35" ht="39.75" customHeight="1">
      <c r="A35" s="69" t="s">
        <v>1086</v>
      </c>
      <c r="B35" s="64" t="s">
        <v>1096</v>
      </c>
      <c r="C35" s="65" t="s">
        <v>1097</v>
      </c>
      <c r="D35" s="65" t="s">
        <v>1098</v>
      </c>
      <c r="E35" s="65" t="s">
        <v>1099</v>
      </c>
      <c r="F35" s="65" t="s">
        <v>1100</v>
      </c>
      <c r="G35" s="65" t="s">
        <v>447</v>
      </c>
      <c r="H35" s="65" t="s">
        <v>1101</v>
      </c>
      <c r="I35" s="65" t="s">
        <v>282</v>
      </c>
      <c r="J35" s="66"/>
      <c r="K35" s="65"/>
      <c r="L35" s="65"/>
      <c r="M35" s="65"/>
      <c r="N35" s="65"/>
      <c r="O35" s="66">
        <v>4</v>
      </c>
      <c r="P35" s="66" t="str">
        <f t="shared" si="1"/>
        <v/>
      </c>
      <c r="Q35" s="65" t="s">
        <v>316</v>
      </c>
      <c r="R35" s="65" t="s">
        <v>1102</v>
      </c>
      <c r="S35" s="65"/>
      <c r="T35" s="65"/>
      <c r="U35" s="65" t="inlineStr">
        <is>
          <t xml:space="preserve">—</t>
        </is>
      </c>
    </row>
    <row r="36" ht="39.75" customHeight="1">
      <c r="A36" s="69" t="s">
        <v>1086</v>
      </c>
      <c r="B36" s="64" t="s">
        <v>1103</v>
      </c>
      <c r="C36" s="65" t="s">
        <v>1104</v>
      </c>
      <c r="D36" s="65" t="s">
        <v>1105</v>
      </c>
      <c r="E36" s="65" t="s">
        <v>1099</v>
      </c>
      <c r="F36" s="65" t="s">
        <v>1100</v>
      </c>
      <c r="G36" s="65" t="s">
        <v>1106</v>
      </c>
      <c r="H36" s="65" t="s">
        <v>1101</v>
      </c>
      <c r="I36" s="65" t="s">
        <v>282</v>
      </c>
      <c r="J36" s="66"/>
      <c r="K36" s="65"/>
      <c r="L36" s="65"/>
      <c r="M36" s="65"/>
      <c r="N36" s="65"/>
      <c r="O36" s="66">
        <v>3</v>
      </c>
      <c r="P36" s="66" t="str">
        <f t="shared" si="1"/>
        <v/>
      </c>
      <c r="Q36" s="65" t="s">
        <v>316</v>
      </c>
      <c r="R36" s="65" t="s">
        <v>1107</v>
      </c>
      <c r="S36" s="65"/>
      <c r="T36" s="65"/>
      <c r="U36" s="65" t="inlineStr">
        <is>
          <t xml:space="preserve">—</t>
        </is>
      </c>
    </row>
    <row r="37" ht="39.75" customHeight="1">
      <c r="A37" s="69" t="s">
        <v>1086</v>
      </c>
      <c r="B37" s="64" t="s">
        <v>1108</v>
      </c>
      <c r="C37" s="65" t="s">
        <v>1109</v>
      </c>
      <c r="D37" s="65" t="s">
        <v>1110</v>
      </c>
      <c r="E37" s="65" t="s">
        <v>1099</v>
      </c>
      <c r="F37" s="65" t="s">
        <v>332</v>
      </c>
      <c r="G37" s="65" t="s">
        <v>1111</v>
      </c>
      <c r="H37" s="65" t="s">
        <v>1112</v>
      </c>
      <c r="I37" s="65" t="s">
        <v>282</v>
      </c>
      <c r="J37" s="66"/>
      <c r="K37" s="65"/>
      <c r="L37" s="65"/>
      <c r="M37" s="65"/>
      <c r="N37" s="65"/>
      <c r="O37" s="66">
        <v>3</v>
      </c>
      <c r="P37" s="66" t="str">
        <f t="shared" si="1"/>
        <v/>
      </c>
      <c r="Q37" s="65" t="s">
        <v>1113</v>
      </c>
      <c r="R37" s="65" t="s">
        <v>1114</v>
      </c>
      <c r="S37" s="65"/>
      <c r="T37" s="65"/>
      <c r="U37" s="65" t="inlineStr">
        <is>
          <t xml:space="preserve">—</t>
        </is>
      </c>
    </row>
    <row r="39" ht="15" customHeight="1">
      <c r="A39" s="70" t="s">
        <v>1115</v>
      </c>
    </row>
  </sheetData>
  <autoFilter ref="A3:T37"/>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CCE6A557-97BC-4b89-ADB6-D9C93CAAB3DF}">
      <x14:dataValidations xmlns:xm="http://schemas.microsoft.com/office/excel/2006/main" count="2" disablePrompts="0">
        <x14:dataValidation xr:uid="{CCC2F35F-4A75-4830-9D35-0887BCDB987E}" type="list" allowBlank="1" errorStyle="stop" imeMode="noControl" operator="between" showDropDown="0" showErrorMessage="0" showInputMessage="0">
          <x14:formula1>
            <xm:f>"Not tested,Adequate,Partially adequate,Inadequate,Not applicable"</xm:f>
          </x14:formula1>
          <x14:formula2>
            <xm:f>0</xm:f>
          </x14:formula2>
          <xm:sqref>S4:S37</xm:sqref>
        </x14:dataValidation>
        <x14:dataValidation xr:uid="{3FAFC282-FA4F-4B7C-9036-9B2D76FAA935}" type="list" allowBlank="1" errorStyle="stop" imeMode="noControl" operator="between" showDropDown="0" showErrorMessage="0" showInputMessage="0">
          <x14:formula1>
            <xm:f>"Not tested,Effective,Partially effective,Ineffective,Not applicable"</xm:f>
          </x14:formula1>
          <x14:formula2>
            <xm:f>0</xm:f>
          </x14:formula2>
          <xm:sqref>T4:T37</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100" workbookViewId="0">
      <pane xSplit="2" ySplit="3" topLeftCell="C4" activePane="bottomRight" state="frozen"/>
      <selection activeCell="A1" activeCellId="0" sqref="A1"/>
    </sheetView>
  </sheetViews>
  <sheetFormatPr defaultColWidth="8.6796875" defaultRowHeight="14.25"/>
  <cols>
    <col customWidth="1" min="1" max="1" style="1" width="20"/>
    <col customWidth="1" min="2" max="2" style="1" width="13"/>
    <col customWidth="1" min="3" max="3" style="1" width="32"/>
    <col customWidth="1" min="4" max="4" style="1" width="26"/>
    <col customWidth="1" min="5" max="6" style="1" width="22"/>
    <col customWidth="1" min="7" max="7" style="1" width="20"/>
    <col customWidth="1" min="8" max="8" style="1" width="18"/>
    <col customWidth="1" min="9" max="9" style="1" width="16"/>
    <col customWidth="1" min="10" max="10" style="1" width="11"/>
    <col customWidth="1" min="11" max="11" style="1" width="20"/>
    <col customWidth="1" min="12" max="13" style="1" width="13"/>
    <col customWidth="1" min="14" max="14" style="1" width="24"/>
    <col customWidth="1" min="15" max="15" style="1" width="9"/>
    <col customWidth="1" min="16" max="16" style="1" width="11"/>
    <col customWidth="1" min="17" max="17" style="1" width="16"/>
    <col customWidth="1" min="18" max="18" style="1" width="15"/>
    <col customWidth="1" min="19" max="19" style="1" width="30"/>
    <col customWidth="1" min="20" max="20" style="1" width="24"/>
    <col customWidth="1" min="21" max="21" style="1" width="30"/>
    <col min="22" max="22" width="26" customWidth="1"/>
  </cols>
  <sheetData>
    <row r="1" ht="15.75" customHeight="1">
      <c r="A1" s="61" t="s">
        <v>1116</v>
      </c>
    </row>
    <row r="3" ht="34.5" customHeight="1">
      <c r="A3" s="71" t="s">
        <v>922</v>
      </c>
      <c r="B3" s="71" t="s">
        <v>1117</v>
      </c>
      <c r="C3" s="71" t="s">
        <v>1118</v>
      </c>
      <c r="D3" s="71" t="s">
        <v>925</v>
      </c>
      <c r="E3" s="71" t="s">
        <v>926</v>
      </c>
      <c r="F3" s="71" t="s">
        <v>927</v>
      </c>
      <c r="G3" s="71" t="s">
        <v>626</v>
      </c>
      <c r="H3" s="71" t="s">
        <v>269</v>
      </c>
      <c r="I3" s="71" t="s">
        <v>270</v>
      </c>
      <c r="J3" s="71" t="s">
        <v>271</v>
      </c>
      <c r="K3" s="71" t="s">
        <v>272</v>
      </c>
      <c r="L3" s="71" t="s">
        <v>273</v>
      </c>
      <c r="M3" s="71" t="s">
        <v>274</v>
      </c>
      <c r="N3" s="71" t="s">
        <v>275</v>
      </c>
      <c r="O3" s="71" t="s">
        <v>928</v>
      </c>
      <c r="P3" s="71" t="s">
        <v>929</v>
      </c>
      <c r="Q3" s="71" t="s">
        <v>276</v>
      </c>
      <c r="R3" s="71" t="s">
        <v>1119</v>
      </c>
      <c r="S3" s="71" t="s">
        <v>1120</v>
      </c>
      <c r="T3" s="71" t="inlineStr">
        <is>
          <t>Test of Design</t>
        </is>
      </c>
      <c r="U3" s="71" t="inlineStr">
        <is>
          <t>Test of Operating Effectiveness</t>
        </is>
      </c>
      <c r="V3" s="71" t="inlineStr">
        <is>
          <t xml:space="preserve">Linked CSA PA</t>
        </is>
      </c>
    </row>
    <row r="4" ht="32.25" customHeight="1">
      <c r="A4" s="63" t="s">
        <v>1121</v>
      </c>
      <c r="B4" s="72" t="s">
        <v>1122</v>
      </c>
      <c r="C4" s="65" t="s">
        <v>1123</v>
      </c>
      <c r="D4" s="65" t="s">
        <v>1124</v>
      </c>
      <c r="E4" s="65" t="s">
        <v>935</v>
      </c>
      <c r="F4" s="65" t="s">
        <v>1125</v>
      </c>
      <c r="G4" s="65" t="s">
        <v>1126</v>
      </c>
      <c r="H4" s="65" t="s">
        <v>1127</v>
      </c>
      <c r="I4" s="65" t="s">
        <v>282</v>
      </c>
      <c r="J4" s="73"/>
      <c r="K4" s="65"/>
      <c r="L4" s="73"/>
      <c r="M4" s="73"/>
      <c r="N4" s="65"/>
      <c r="O4" s="73">
        <v>5</v>
      </c>
      <c r="P4" s="73" t="str">
        <f t="shared" ref="P4:P9" si="2">IF(J4="","",O4*J4)</f>
        <v/>
      </c>
      <c r="Q4" s="65" t="s">
        <v>1128</v>
      </c>
      <c r="R4" s="65"/>
      <c r="S4" s="65" t="s">
        <v>1129</v>
      </c>
      <c r="T4" s="65"/>
      <c r="U4" s="65"/>
      <c r="V4" s="65" t="inlineStr">
        <is>
          <t xml:space="preserve">PA 3</t>
        </is>
      </c>
    </row>
    <row r="5" ht="42.75" customHeight="1">
      <c r="A5" s="63" t="s">
        <v>1121</v>
      </c>
      <c r="B5" s="72" t="s">
        <v>1130</v>
      </c>
      <c r="C5" s="65" t="s">
        <v>1131</v>
      </c>
      <c r="D5" s="65" t="s">
        <v>1132</v>
      </c>
      <c r="E5" s="65" t="s">
        <v>949</v>
      </c>
      <c r="F5" s="65" t="s">
        <v>1133</v>
      </c>
      <c r="G5" s="65" t="s">
        <v>1134</v>
      </c>
      <c r="H5" s="65" t="s">
        <v>1037</v>
      </c>
      <c r="I5" s="65" t="s">
        <v>282</v>
      </c>
      <c r="J5" s="73"/>
      <c r="K5" s="65"/>
      <c r="L5" s="73"/>
      <c r="M5" s="73"/>
      <c r="N5" s="65"/>
      <c r="O5" s="73">
        <v>5</v>
      </c>
      <c r="P5" s="73" t="str">
        <f t="shared" si="2"/>
        <v/>
      </c>
      <c r="Q5" s="65" t="s">
        <v>1135</v>
      </c>
      <c r="R5" s="65" t="s">
        <v>1136</v>
      </c>
      <c r="S5" s="65" t="s">
        <v>1137</v>
      </c>
      <c r="T5" s="65"/>
      <c r="U5" s="65"/>
      <c r="V5" s="65" t="inlineStr">
        <is>
          <t xml:space="preserve">PA 3</t>
        </is>
      </c>
    </row>
    <row r="6" ht="42.75" customHeight="1">
      <c r="A6" s="63" t="s">
        <v>1121</v>
      </c>
      <c r="B6" s="72" t="s">
        <v>1138</v>
      </c>
      <c r="C6" s="65" t="s">
        <v>1139</v>
      </c>
      <c r="D6" s="65" t="s">
        <v>1140</v>
      </c>
      <c r="E6" s="65" t="s">
        <v>1141</v>
      </c>
      <c r="F6" s="65" t="s">
        <v>1142</v>
      </c>
      <c r="G6" s="65" t="s">
        <v>1143</v>
      </c>
      <c r="H6" s="65" t="s">
        <v>110</v>
      </c>
      <c r="I6" s="65" t="s">
        <v>282</v>
      </c>
      <c r="J6" s="73"/>
      <c r="K6" s="65"/>
      <c r="L6" s="73"/>
      <c r="M6" s="73"/>
      <c r="N6" s="65"/>
      <c r="O6" s="73">
        <v>5</v>
      </c>
      <c r="P6" s="73" t="str">
        <f t="shared" si="2"/>
        <v/>
      </c>
      <c r="Q6" s="65" t="s">
        <v>316</v>
      </c>
      <c r="R6" s="65" t="s">
        <v>1136</v>
      </c>
      <c r="S6" s="65" t="s">
        <v>1144</v>
      </c>
      <c r="T6" s="65"/>
      <c r="U6" s="65"/>
      <c r="V6" s="65" t="inlineStr">
        <is>
          <t xml:space="preserve">—</t>
        </is>
      </c>
    </row>
    <row r="7" ht="32.25" customHeight="1">
      <c r="A7" s="63" t="s">
        <v>1121</v>
      </c>
      <c r="B7" s="72" t="s">
        <v>1145</v>
      </c>
      <c r="C7" s="65" t="s">
        <v>1146</v>
      </c>
      <c r="D7" s="65" t="s">
        <v>1147</v>
      </c>
      <c r="E7" s="65" t="s">
        <v>1141</v>
      </c>
      <c r="F7" s="65" t="s">
        <v>395</v>
      </c>
      <c r="G7" s="65" t="s">
        <v>1148</v>
      </c>
      <c r="H7" s="65" t="s">
        <v>1149</v>
      </c>
      <c r="I7" s="65" t="s">
        <v>282</v>
      </c>
      <c r="J7" s="73"/>
      <c r="K7" s="65"/>
      <c r="L7" s="73"/>
      <c r="M7" s="73"/>
      <c r="N7" s="65"/>
      <c r="O7" s="73">
        <v>5</v>
      </c>
      <c r="P7" s="73" t="str">
        <f t="shared" si="2"/>
        <v/>
      </c>
      <c r="Q7" s="65" t="s">
        <v>316</v>
      </c>
      <c r="R7" s="65" t="s">
        <v>1136</v>
      </c>
      <c r="S7" s="65" t="s">
        <v>1150</v>
      </c>
      <c r="T7" s="65"/>
      <c r="U7" s="65"/>
      <c r="V7" s="65" t="inlineStr">
        <is>
          <t xml:space="preserve">PA 3</t>
        </is>
      </c>
    </row>
    <row r="8" ht="32.25" customHeight="1">
      <c r="A8" s="63" t="s">
        <v>1121</v>
      </c>
      <c r="B8" s="72" t="s">
        <v>1151</v>
      </c>
      <c r="C8" s="65" t="s">
        <v>1152</v>
      </c>
      <c r="D8" s="65" t="s">
        <v>1153</v>
      </c>
      <c r="E8" s="65" t="s">
        <v>935</v>
      </c>
      <c r="F8" s="65" t="s">
        <v>936</v>
      </c>
      <c r="G8" s="65" t="s">
        <v>1154</v>
      </c>
      <c r="H8" s="65" t="s">
        <v>938</v>
      </c>
      <c r="I8" s="65" t="s">
        <v>282</v>
      </c>
      <c r="J8" s="73"/>
      <c r="K8" s="65"/>
      <c r="L8" s="73"/>
      <c r="M8" s="73"/>
      <c r="N8" s="65"/>
      <c r="O8" s="73">
        <v>4</v>
      </c>
      <c r="P8" s="73" t="str">
        <f t="shared" si="2"/>
        <v/>
      </c>
      <c r="Q8" s="65" t="s">
        <v>1128</v>
      </c>
      <c r="R8" s="65"/>
      <c r="S8" s="65" t="s">
        <v>1155</v>
      </c>
      <c r="T8" s="65"/>
      <c r="U8" s="65"/>
      <c r="V8" s="65" t="inlineStr">
        <is>
          <t xml:space="preserve">—</t>
        </is>
      </c>
    </row>
    <row r="9" ht="32.25" customHeight="1">
      <c r="A9" s="63" t="s">
        <v>1156</v>
      </c>
      <c r="B9" s="72" t="s">
        <v>1157</v>
      </c>
      <c r="C9" s="65" t="s">
        <v>1158</v>
      </c>
      <c r="D9" s="65" t="s">
        <v>1159</v>
      </c>
      <c r="E9" s="65" t="s">
        <v>1141</v>
      </c>
      <c r="F9" s="65" t="s">
        <v>1133</v>
      </c>
      <c r="G9" s="65" t="s">
        <v>1160</v>
      </c>
      <c r="H9" s="65" t="s">
        <v>1149</v>
      </c>
      <c r="I9" s="65" t="s">
        <v>282</v>
      </c>
      <c r="J9" s="73"/>
      <c r="K9" s="65"/>
      <c r="L9" s="73"/>
      <c r="M9" s="73"/>
      <c r="N9" s="65"/>
      <c r="O9" s="73">
        <v>5</v>
      </c>
      <c r="P9" s="73" t="str">
        <f t="shared" si="2"/>
        <v/>
      </c>
      <c r="Q9" s="65" t="s">
        <v>316</v>
      </c>
      <c r="R9" s="65" t="s">
        <v>1161</v>
      </c>
      <c r="S9" s="65" t="s">
        <v>1162</v>
      </c>
      <c r="T9" s="65"/>
      <c r="U9" s="65"/>
      <c r="V9" s="65" t="inlineStr">
        <is>
          <t xml:space="preserve">PA 10</t>
        </is>
      </c>
    </row>
    <row r="10" ht="21.75" customHeight="1">
      <c r="A10" s="63" t="s">
        <v>1156</v>
      </c>
      <c r="B10" s="72" t="s">
        <v>1163</v>
      </c>
      <c r="C10" s="65" t="s">
        <v>1164</v>
      </c>
      <c r="D10" s="65" t="s">
        <v>1165</v>
      </c>
      <c r="E10" s="65" t="s">
        <v>1166</v>
      </c>
      <c r="F10" s="65" t="s">
        <v>395</v>
      </c>
      <c r="G10" s="65" t="s">
        <v>603</v>
      </c>
      <c r="H10" s="65" t="s">
        <v>129</v>
      </c>
      <c r="I10" s="65" t="s">
        <v>282</v>
      </c>
      <c r="J10" s="73"/>
      <c r="K10" s="65"/>
      <c r="L10" s="73"/>
      <c r="M10" s="73"/>
      <c r="N10" s="65"/>
      <c r="O10" s="73">
        <v>3</v>
      </c>
      <c r="P10" s="73" t="str">
        <f t="shared" ref="P10:P24" si="3">IF(J10="","",O10*J10)</f>
        <v/>
      </c>
      <c r="Q10" s="65" t="s">
        <v>316</v>
      </c>
      <c r="R10" s="65"/>
      <c r="S10" s="65" t="s">
        <v>1167</v>
      </c>
      <c r="T10" s="65"/>
      <c r="U10" s="65"/>
      <c r="V10" s="65" t="inlineStr">
        <is>
          <t xml:space="preserve">—</t>
        </is>
      </c>
    </row>
    <row r="11" ht="42.75" customHeight="1">
      <c r="A11" s="63" t="s">
        <v>1156</v>
      </c>
      <c r="B11" s="72" t="s">
        <v>1168</v>
      </c>
      <c r="C11" s="65" t="s">
        <v>1169</v>
      </c>
      <c r="D11" s="65" t="s">
        <v>1170</v>
      </c>
      <c r="E11" s="65" t="s">
        <v>1171</v>
      </c>
      <c r="F11" s="65" t="s">
        <v>1172</v>
      </c>
      <c r="G11" s="65" t="s">
        <v>988</v>
      </c>
      <c r="H11" s="65" t="s">
        <v>1173</v>
      </c>
      <c r="I11" s="65" t="s">
        <v>282</v>
      </c>
      <c r="J11" s="73"/>
      <c r="K11" s="65"/>
      <c r="L11" s="73"/>
      <c r="M11" s="73"/>
      <c r="N11" s="65"/>
      <c r="O11" s="73">
        <v>5</v>
      </c>
      <c r="P11" s="73" t="str">
        <f t="shared" si="3"/>
        <v/>
      </c>
      <c r="Q11" s="65" t="s">
        <v>316</v>
      </c>
      <c r="R11" s="65"/>
      <c r="S11" s="65" t="s">
        <v>1174</v>
      </c>
      <c r="T11" s="65"/>
      <c r="U11" s="65"/>
      <c r="V11" s="65" t="inlineStr">
        <is>
          <t xml:space="preserve">PA 3, PA 10</t>
        </is>
      </c>
    </row>
    <row r="12" ht="21.75" customHeight="1">
      <c r="A12" s="63" t="s">
        <v>1156</v>
      </c>
      <c r="B12" s="72" t="s">
        <v>1175</v>
      </c>
      <c r="C12" s="65" t="s">
        <v>1176</v>
      </c>
      <c r="D12" s="65" t="s">
        <v>1177</v>
      </c>
      <c r="E12" s="65" t="s">
        <v>1141</v>
      </c>
      <c r="F12" s="65" t="s">
        <v>395</v>
      </c>
      <c r="G12" s="65" t="s">
        <v>601</v>
      </c>
      <c r="H12" s="65" t="s">
        <v>222</v>
      </c>
      <c r="I12" s="65" t="s">
        <v>282</v>
      </c>
      <c r="J12" s="73"/>
      <c r="K12" s="65"/>
      <c r="L12" s="73"/>
      <c r="M12" s="73"/>
      <c r="N12" s="65"/>
      <c r="O12" s="73">
        <v>4</v>
      </c>
      <c r="P12" s="73" t="str">
        <f t="shared" si="3"/>
        <v/>
      </c>
      <c r="Q12" s="65" t="s">
        <v>391</v>
      </c>
      <c r="R12" s="65"/>
      <c r="S12" s="65" t="s">
        <v>1178</v>
      </c>
      <c r="T12" s="65"/>
      <c r="U12" s="65"/>
      <c r="V12" s="65" t="inlineStr">
        <is>
          <t xml:space="preserve">PA 10</t>
        </is>
      </c>
    </row>
    <row r="13" ht="32.25" customHeight="1">
      <c r="A13" s="63" t="s">
        <v>1156</v>
      </c>
      <c r="B13" s="72" t="s">
        <v>1179</v>
      </c>
      <c r="C13" s="65" t="s">
        <v>1180</v>
      </c>
      <c r="D13" s="65" t="s">
        <v>1181</v>
      </c>
      <c r="E13" s="65" t="s">
        <v>1182</v>
      </c>
      <c r="F13" s="65" t="s">
        <v>332</v>
      </c>
      <c r="G13" s="65" t="s">
        <v>997</v>
      </c>
      <c r="H13" s="65" t="s">
        <v>1037</v>
      </c>
      <c r="I13" s="65" t="s">
        <v>282</v>
      </c>
      <c r="J13" s="73"/>
      <c r="K13" s="65"/>
      <c r="L13" s="73"/>
      <c r="M13" s="73"/>
      <c r="N13" s="65"/>
      <c r="O13" s="73">
        <v>3</v>
      </c>
      <c r="P13" s="73" t="str">
        <f t="shared" si="3"/>
        <v/>
      </c>
      <c r="Q13" s="65" t="s">
        <v>734</v>
      </c>
      <c r="R13" s="65"/>
      <c r="S13" s="65" t="s">
        <v>1183</v>
      </c>
      <c r="T13" s="65"/>
      <c r="U13" s="65"/>
      <c r="V13" s="65" t="inlineStr">
        <is>
          <t xml:space="preserve">PA 9</t>
        </is>
      </c>
    </row>
    <row r="14" ht="32.25" customHeight="1">
      <c r="A14" s="63" t="s">
        <v>1156</v>
      </c>
      <c r="B14" s="72" t="s">
        <v>1184</v>
      </c>
      <c r="C14" s="65" t="s">
        <v>1185</v>
      </c>
      <c r="D14" s="65" t="s">
        <v>1186</v>
      </c>
      <c r="E14" s="65" t="s">
        <v>1187</v>
      </c>
      <c r="F14" s="65" t="s">
        <v>1188</v>
      </c>
      <c r="G14" s="65" t="s">
        <v>1189</v>
      </c>
      <c r="H14" s="65" t="s">
        <v>1190</v>
      </c>
      <c r="I14" s="65" t="s">
        <v>282</v>
      </c>
      <c r="J14" s="73"/>
      <c r="K14" s="65"/>
      <c r="L14" s="73"/>
      <c r="M14" s="73"/>
      <c r="N14" s="65"/>
      <c r="O14" s="73">
        <v>4</v>
      </c>
      <c r="P14" s="73" t="str">
        <f t="shared" si="3"/>
        <v/>
      </c>
      <c r="Q14" s="65" t="s">
        <v>734</v>
      </c>
      <c r="R14" s="65" t="s">
        <v>1161</v>
      </c>
      <c r="S14" s="65" t="s">
        <v>1191</v>
      </c>
      <c r="T14" s="65"/>
      <c r="U14" s="65"/>
      <c r="V14" s="65" t="inlineStr">
        <is>
          <t xml:space="preserve">—</t>
        </is>
      </c>
    </row>
    <row r="15" ht="32.25" customHeight="1">
      <c r="A15" s="63" t="s">
        <v>1192</v>
      </c>
      <c r="B15" s="72" t="s">
        <v>1193</v>
      </c>
      <c r="C15" s="65" t="s">
        <v>1194</v>
      </c>
      <c r="D15" s="65" t="s">
        <v>1195</v>
      </c>
      <c r="E15" s="65" t="s">
        <v>1196</v>
      </c>
      <c r="F15" s="65" t="s">
        <v>1197</v>
      </c>
      <c r="G15" s="65" t="s">
        <v>1068</v>
      </c>
      <c r="H15" s="65" t="s">
        <v>1198</v>
      </c>
      <c r="I15" s="65" t="s">
        <v>282</v>
      </c>
      <c r="J15" s="73"/>
      <c r="K15" s="65"/>
      <c r="L15" s="73"/>
      <c r="M15" s="73"/>
      <c r="N15" s="65"/>
      <c r="O15" s="73">
        <v>5</v>
      </c>
      <c r="P15" s="73" t="str">
        <f t="shared" si="3"/>
        <v/>
      </c>
      <c r="Q15" s="65" t="s">
        <v>316</v>
      </c>
      <c r="R15" s="65" t="s">
        <v>1199</v>
      </c>
      <c r="S15" s="65" t="s">
        <v>1200</v>
      </c>
      <c r="T15" s="65"/>
      <c r="U15" s="65"/>
      <c r="V15" s="65" t="inlineStr">
        <is>
          <t xml:space="preserve">—</t>
        </is>
      </c>
    </row>
    <row r="16" ht="32.25" customHeight="1">
      <c r="A16" s="63" t="s">
        <v>1192</v>
      </c>
      <c r="B16" s="72" t="s">
        <v>1201</v>
      </c>
      <c r="C16" s="65" t="s">
        <v>1202</v>
      </c>
      <c r="D16" s="65" t="s">
        <v>1203</v>
      </c>
      <c r="E16" s="65" t="s">
        <v>1204</v>
      </c>
      <c r="F16" s="65" t="s">
        <v>1205</v>
      </c>
      <c r="G16" s="65" t="s">
        <v>1206</v>
      </c>
      <c r="H16" s="65" t="s">
        <v>1207</v>
      </c>
      <c r="I16" s="65" t="s">
        <v>282</v>
      </c>
      <c r="J16" s="73"/>
      <c r="K16" s="65"/>
      <c r="L16" s="73"/>
      <c r="M16" s="73"/>
      <c r="N16" s="65"/>
      <c r="O16" s="73">
        <v>4</v>
      </c>
      <c r="P16" s="73" t="str">
        <f t="shared" si="3"/>
        <v/>
      </c>
      <c r="Q16" s="65" t="s">
        <v>316</v>
      </c>
      <c r="R16" s="65" t="s">
        <v>1199</v>
      </c>
      <c r="S16" s="65" t="s">
        <v>1208</v>
      </c>
      <c r="T16" s="65"/>
      <c r="U16" s="65"/>
      <c r="V16" s="65" t="inlineStr">
        <is>
          <t xml:space="preserve">—</t>
        </is>
      </c>
    </row>
    <row r="17" ht="32.25" customHeight="1">
      <c r="A17" s="63" t="s">
        <v>1192</v>
      </c>
      <c r="B17" s="72" t="s">
        <v>1209</v>
      </c>
      <c r="C17" s="65" t="s">
        <v>1210</v>
      </c>
      <c r="D17" s="65" t="s">
        <v>1211</v>
      </c>
      <c r="E17" s="65" t="s">
        <v>1212</v>
      </c>
      <c r="F17" s="65" t="s">
        <v>1213</v>
      </c>
      <c r="G17" s="65" t="s">
        <v>1214</v>
      </c>
      <c r="H17" s="65" t="s">
        <v>110</v>
      </c>
      <c r="I17" s="65" t="s">
        <v>282</v>
      </c>
      <c r="J17" s="73"/>
      <c r="K17" s="65"/>
      <c r="L17" s="73"/>
      <c r="M17" s="73"/>
      <c r="N17" s="65"/>
      <c r="O17" s="73">
        <v>4</v>
      </c>
      <c r="P17" s="73" t="str">
        <f t="shared" si="3"/>
        <v/>
      </c>
      <c r="Q17" s="65" t="s">
        <v>1215</v>
      </c>
      <c r="R17" s="65"/>
      <c r="S17" s="65" t="s">
        <v>1129</v>
      </c>
      <c r="T17" s="65"/>
      <c r="U17" s="65"/>
      <c r="V17" s="65" t="inlineStr">
        <is>
          <t xml:space="preserve">—</t>
        </is>
      </c>
    </row>
    <row r="18" ht="32.25" customHeight="1">
      <c r="A18" s="63" t="s">
        <v>1192</v>
      </c>
      <c r="B18" s="72" t="s">
        <v>1216</v>
      </c>
      <c r="C18" s="65" t="s">
        <v>1217</v>
      </c>
      <c r="D18" s="65" t="s">
        <v>1218</v>
      </c>
      <c r="E18" s="65" t="s">
        <v>1196</v>
      </c>
      <c r="F18" s="65" t="s">
        <v>1205</v>
      </c>
      <c r="G18" s="65" t="s">
        <v>1219</v>
      </c>
      <c r="H18" s="65" t="s">
        <v>1220</v>
      </c>
      <c r="I18" s="65" t="s">
        <v>282</v>
      </c>
      <c r="J18" s="73"/>
      <c r="K18" s="65"/>
      <c r="L18" s="73"/>
      <c r="M18" s="73"/>
      <c r="N18" s="65"/>
      <c r="O18" s="73">
        <v>4</v>
      </c>
      <c r="P18" s="73" t="str">
        <f t="shared" si="3"/>
        <v/>
      </c>
      <c r="Q18" s="65" t="s">
        <v>1215</v>
      </c>
      <c r="R18" s="65" t="s">
        <v>1199</v>
      </c>
      <c r="S18" s="65" t="s">
        <v>1221</v>
      </c>
      <c r="T18" s="65"/>
      <c r="U18" s="65"/>
      <c r="V18" s="65" t="inlineStr">
        <is>
          <t xml:space="preserve">PA 6</t>
        </is>
      </c>
    </row>
    <row r="19" ht="32.25" customHeight="1">
      <c r="A19" s="63" t="s">
        <v>1192</v>
      </c>
      <c r="B19" s="72" t="s">
        <v>1222</v>
      </c>
      <c r="C19" s="65" t="s">
        <v>1223</v>
      </c>
      <c r="D19" s="65" t="s">
        <v>1224</v>
      </c>
      <c r="E19" s="65" t="s">
        <v>1182</v>
      </c>
      <c r="F19" s="65" t="s">
        <v>332</v>
      </c>
      <c r="G19" s="65" t="s">
        <v>997</v>
      </c>
      <c r="H19" s="65" t="s">
        <v>938</v>
      </c>
      <c r="I19" s="65" t="s">
        <v>282</v>
      </c>
      <c r="J19" s="73"/>
      <c r="K19" s="65"/>
      <c r="L19" s="73"/>
      <c r="M19" s="73"/>
      <c r="N19" s="65"/>
      <c r="O19" s="73">
        <v>4</v>
      </c>
      <c r="P19" s="73" t="str">
        <f t="shared" si="3"/>
        <v/>
      </c>
      <c r="Q19" s="65" t="s">
        <v>1079</v>
      </c>
      <c r="R19" s="65"/>
      <c r="S19" s="65" t="s">
        <v>1225</v>
      </c>
      <c r="T19" s="65"/>
      <c r="U19" s="65"/>
      <c r="V19" s="65" t="inlineStr">
        <is>
          <t xml:space="preserve">—</t>
        </is>
      </c>
    </row>
    <row r="20" ht="32.25" customHeight="1">
      <c r="A20" s="63" t="s">
        <v>1226</v>
      </c>
      <c r="B20" s="72" t="s">
        <v>1227</v>
      </c>
      <c r="C20" s="65" t="s">
        <v>1228</v>
      </c>
      <c r="D20" s="65" t="s">
        <v>1229</v>
      </c>
      <c r="E20" s="65" t="s">
        <v>1166</v>
      </c>
      <c r="F20" s="65" t="s">
        <v>1188</v>
      </c>
      <c r="G20" s="65" t="s">
        <v>1230</v>
      </c>
      <c r="H20" s="65" t="s">
        <v>1190</v>
      </c>
      <c r="I20" s="65" t="s">
        <v>282</v>
      </c>
      <c r="J20" s="73"/>
      <c r="K20" s="65"/>
      <c r="L20" s="73"/>
      <c r="M20" s="73"/>
      <c r="N20" s="65"/>
      <c r="O20" s="73">
        <v>3</v>
      </c>
      <c r="P20" s="73" t="str">
        <f t="shared" si="3"/>
        <v/>
      </c>
      <c r="Q20" s="65" t="s">
        <v>1135</v>
      </c>
      <c r="R20" s="65"/>
      <c r="S20" s="65" t="s">
        <v>1231</v>
      </c>
      <c r="T20" s="65"/>
      <c r="U20" s="65"/>
      <c r="V20" s="65" t="inlineStr">
        <is>
          <t xml:space="preserve">—</t>
        </is>
      </c>
    </row>
    <row r="21" ht="42.75" customHeight="1">
      <c r="A21" s="63" t="s">
        <v>1226</v>
      </c>
      <c r="B21" s="72" t="s">
        <v>1232</v>
      </c>
      <c r="C21" s="65" t="s">
        <v>1233</v>
      </c>
      <c r="D21" s="65" t="s">
        <v>1234</v>
      </c>
      <c r="E21" s="65" t="s">
        <v>1141</v>
      </c>
      <c r="F21" s="65" t="s">
        <v>395</v>
      </c>
      <c r="G21" s="65" t="s">
        <v>1023</v>
      </c>
      <c r="H21" s="65" t="s">
        <v>1190</v>
      </c>
      <c r="I21" s="65" t="s">
        <v>282</v>
      </c>
      <c r="J21" s="73"/>
      <c r="K21" s="65"/>
      <c r="L21" s="73"/>
      <c r="M21" s="73"/>
      <c r="N21" s="65"/>
      <c r="O21" s="73">
        <v>4</v>
      </c>
      <c r="P21" s="73" t="str">
        <f t="shared" si="3"/>
        <v/>
      </c>
      <c r="Q21" s="65" t="s">
        <v>316</v>
      </c>
      <c r="R21" s="65" t="s">
        <v>1235</v>
      </c>
      <c r="S21" s="65" t="s">
        <v>1144</v>
      </c>
      <c r="T21" s="65"/>
      <c r="U21" s="65"/>
      <c r="V21" s="65" t="inlineStr">
        <is>
          <t xml:space="preserve">PA 8</t>
        </is>
      </c>
    </row>
    <row r="22" ht="32.25" customHeight="1">
      <c r="A22" s="63" t="s">
        <v>1226</v>
      </c>
      <c r="B22" s="72" t="s">
        <v>1236</v>
      </c>
      <c r="C22" s="65" t="s">
        <v>1237</v>
      </c>
      <c r="D22" s="65" t="s">
        <v>1238</v>
      </c>
      <c r="E22" s="65" t="s">
        <v>1204</v>
      </c>
      <c r="F22" s="65" t="s">
        <v>381</v>
      </c>
      <c r="G22" s="65" t="s">
        <v>1206</v>
      </c>
      <c r="H22" s="65" t="s">
        <v>1127</v>
      </c>
      <c r="I22" s="65" t="s">
        <v>282</v>
      </c>
      <c r="J22" s="73"/>
      <c r="K22" s="65"/>
      <c r="L22" s="73"/>
      <c r="M22" s="73"/>
      <c r="N22" s="65"/>
      <c r="O22" s="73">
        <v>3</v>
      </c>
      <c r="P22" s="73" t="str">
        <f t="shared" si="3"/>
        <v/>
      </c>
      <c r="Q22" s="65" t="s">
        <v>316</v>
      </c>
      <c r="R22" s="65"/>
      <c r="S22" s="65" t="s">
        <v>1239</v>
      </c>
      <c r="T22" s="65"/>
      <c r="U22" s="65"/>
      <c r="V22" s="65" t="inlineStr">
        <is>
          <t xml:space="preserve">—</t>
        </is>
      </c>
    </row>
    <row r="23" ht="32.25" customHeight="1">
      <c r="A23" s="63" t="s">
        <v>1226</v>
      </c>
      <c r="B23" s="72" t="s">
        <v>1240</v>
      </c>
      <c r="C23" s="65" t="s">
        <v>1241</v>
      </c>
      <c r="D23" s="65" t="s">
        <v>1242</v>
      </c>
      <c r="E23" s="65" t="s">
        <v>1141</v>
      </c>
      <c r="F23" s="65" t="s">
        <v>1243</v>
      </c>
      <c r="G23" s="65" t="s">
        <v>1244</v>
      </c>
      <c r="H23" s="65" t="s">
        <v>110</v>
      </c>
      <c r="I23" s="65" t="s">
        <v>282</v>
      </c>
      <c r="J23" s="73"/>
      <c r="K23" s="65"/>
      <c r="L23" s="73"/>
      <c r="M23" s="73"/>
      <c r="N23" s="65"/>
      <c r="O23" s="73">
        <v>4</v>
      </c>
      <c r="P23" s="73" t="str">
        <f t="shared" si="3"/>
        <v/>
      </c>
      <c r="Q23" s="65" t="s">
        <v>316</v>
      </c>
      <c r="R23" s="65" t="s">
        <v>1235</v>
      </c>
      <c r="S23" s="65" t="s">
        <v>1245</v>
      </c>
      <c r="T23" s="65"/>
      <c r="U23" s="65"/>
      <c r="V23" s="65" t="inlineStr">
        <is>
          <t xml:space="preserve">—</t>
        </is>
      </c>
    </row>
    <row r="24" ht="32.25" customHeight="1">
      <c r="A24" s="63" t="s">
        <v>1226</v>
      </c>
      <c r="B24" s="72" t="s">
        <v>1246</v>
      </c>
      <c r="C24" s="65" t="s">
        <v>1247</v>
      </c>
      <c r="D24" s="65" t="s">
        <v>1248</v>
      </c>
      <c r="E24" s="65" t="s">
        <v>1249</v>
      </c>
      <c r="F24" s="65" t="s">
        <v>1250</v>
      </c>
      <c r="G24" s="65" t="s">
        <v>1251</v>
      </c>
      <c r="H24" s="65" t="s">
        <v>1252</v>
      </c>
      <c r="I24" s="65" t="s">
        <v>282</v>
      </c>
      <c r="J24" s="73"/>
      <c r="K24" s="65"/>
      <c r="L24" s="73"/>
      <c r="M24" s="73"/>
      <c r="N24" s="65"/>
      <c r="O24" s="73">
        <v>4</v>
      </c>
      <c r="P24" s="73" t="str">
        <f t="shared" si="3"/>
        <v/>
      </c>
      <c r="Q24" s="65" t="s">
        <v>1253</v>
      </c>
      <c r="R24" s="65" t="s">
        <v>1235</v>
      </c>
      <c r="S24" s="65" t="s">
        <v>1254</v>
      </c>
      <c r="T24" s="65"/>
      <c r="U24" s="65"/>
      <c r="V24" s="65" t="inlineStr">
        <is>
          <t xml:space="preserve">PA 3</t>
        </is>
      </c>
    </row>
    <row r="26" ht="15" customHeight="1">
      <c r="A26" s="70" t="s">
        <v>1255</v>
      </c>
    </row>
    <row r="27" ht="180" customHeight="1">
      <c r="A27" s="74" t="s">
        <v>1256</v>
      </c>
    </row>
  </sheetData>
  <autoFilter ref="A3:U24"/>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CCE6A557-97BC-4b89-ADB6-D9C93CAAB3DF}">
      <x14:dataValidations xmlns:xm="http://schemas.microsoft.com/office/excel/2006/main" count="4" disablePrompts="0">
        <x14:dataValidation xr:uid="{E57CD901-7013-418C-BC1E-6B2F0C9B4C58}" type="list" allowBlank="1" errorStyle="stop" imeMode="noControl" operator="between" showDropDown="0" showErrorMessage="0" showInputMessage="0">
          <x14:formula1>
            <xm:f>"Not started,In progress,Implemented,Operating effectively,Not applicable"</xm:f>
          </x14:formula1>
          <x14:formula2>
            <xm:f>0</xm:f>
          </x14:formula2>
          <xm:sqref>I4:I24</xm:sqref>
        </x14:dataValidation>
        <x14:dataValidation xr:uid="{DCF29523-308F-4973-93F9-A38246FD08DC}" type="list" allowBlank="1" errorStyle="stop" imeMode="noControl" operator="between" showDropDown="0" showErrorMessage="0" showInputMessage="0">
          <x14:formula1>
            <xm:f>"1,2,3,4,5"</xm:f>
          </x14:formula1>
          <x14:formula2>
            <xm:f>0</xm:f>
          </x14:formula2>
          <xm:sqref>J4:J24</xm:sqref>
        </x14:dataValidation>
        <x14:dataValidation xr:uid="{C6FFE55E-4847-45C6-A62A-FD6889F99D16}" type="list" allowBlank="1" errorStyle="stop" imeMode="noControl" operator="between" showDropDown="0" showErrorMessage="0" showInputMessage="0">
          <x14:formula1>
            <xm:f>"Not tested,Adequate,Partially adequate,Inadequate,Not applicable"</xm:f>
          </x14:formula1>
          <x14:formula2>
            <xm:f>0</xm:f>
          </x14:formula2>
          <xm:sqref>T4:T24</xm:sqref>
        </x14:dataValidation>
        <x14:dataValidation xr:uid="{8534FA7B-1E57-4217-8E3D-EFBEB965AD02}" type="list" allowBlank="1" errorStyle="stop" imeMode="noControl" operator="between" showDropDown="0" showErrorMessage="0" showInputMessage="0">
          <x14:formula1>
            <xm:f>"Not tested,Effective,Partially effective,Ineffective,Not applicable"</xm:f>
          </x14:formula1>
          <x14:formula2>
            <xm:f>0</xm:f>
          </x14:formula2>
          <xm:sqref>U4:U24</xm:sqref>
        </x14:dataValidation>
      </x14:dataValidations>
    </ext>
  </extLst>
</worksheet>
</file>

<file path=xl/worksheets/sheet11.xml><?xml version="1.0" encoding="utf-8"?>
<worksheet xmlns="http://schemas.openxmlformats.org/spreadsheetml/2006/main" xmlns:r="http://schemas.openxmlformats.org/officeDocument/2006/relationships">
  <dimension ref="A1:H19"/>
  <sheetViews>
    <sheetView showGridLines="1" workbookViewId="0">
      <pane xSplit="1" ySplit="3" topLeftCell="B4" activePane="bottomRight" state="frozen"/>
      <selection pane="bottomRight" activeCell="A4" sqref="A4"/>
    </sheetView>
  </sheetViews>
  <sheetFormatPr defaultRowHeight="15"/>
  <cols>
    <col min="1" max="1" width="24" customWidth="1"/>
    <col min="2" max="2" width="46" customWidth="1"/>
    <col min="3" max="3" width="26" customWidth="1"/>
    <col min="4" max="4" width="15" customWidth="1"/>
    <col min="5" max="5" width="30" customWidth="1"/>
    <col min="6" max="6" width="16" customWidth="1"/>
    <col min="7" max="7" width="10" customWidth="1"/>
    <col min="8" max="8" width="48" customWidth="1"/>
  </cols>
  <sheetData>
    <row r="1" ht="22" customHeight="1">
      <c r="A1" s="75" t="inlineStr">
        <is>
          <t xml:space="preserve">CSA Priority-Action Crosswalk — mapped to Playbook control IDs</t>
        </is>
      </c>
    </row>
    <row r="3" ht="34.5" customHeight="1">
      <c r="A3" s="76" t="inlineStr">
        <is>
          <t xml:space="preserve">CSA Priority Action</t>
        </is>
      </c>
      <c r="B3" s="76" t="inlineStr">
        <is>
          <t xml:space="preserve">What it requires</t>
        </is>
      </c>
      <c r="C3" s="76" t="inlineStr">
        <is>
          <t xml:space="preserve">CSA source refs (OWASP / ATLAS / NIST CSF 2.0)</t>
        </is>
      </c>
      <c r="D3" s="76" t="inlineStr">
        <is>
          <t xml:space="preserve">MAS (M / F)</t>
        </is>
      </c>
      <c r="E3" s="76" t="inlineStr">
        <is>
          <t xml:space="preserve">MGF Agentic (D)</t>
        </is>
      </c>
      <c r="F3" s="76" t="inlineStr">
        <is>
          <t xml:space="preserve">SAFR (S)</t>
        </is>
      </c>
      <c r="G3" s="76" t="inlineStr">
        <is>
          <t xml:space="preserve">Fit</t>
        </is>
      </c>
      <c r="H3" s="76" t="inlineStr">
        <is>
          <t xml:space="preserve">Scope / 2LoD challenge note</t>
        </is>
      </c>
    </row>
    <row r="4">
      <c r="A4" s="77" t="inlineStr">
        <is>
          <t xml:space="preserve">PA 1 · Point Agents at Your Code &amp; Pipelines</t>
        </is>
      </c>
      <c r="B4" s="78" t="inlineStr">
        <is>
          <t xml:space="preserve">Turn agents inward — run LLM security review across own code and CI/CD before merge; shift left into developers' coding agents.</t>
        </is>
      </c>
      <c r="C4" s="78" t="inlineStr">
        <is>
          <t xml:space="preserve">LLM01, LLM05, LLM08, ASI01, AML.T0018, AML.T0051.001, PR.PS, ID.IM</t>
        </is>
      </c>
      <c r="D4" s="79" t="inlineStr">
        <is>
          <t xml:space="preserve">M3.6, M3.7</t>
        </is>
      </c>
      <c r="E4" s="79" t="inlineStr">
        <is>
          <t xml:space="preserve">D3.8, D3.9</t>
        </is>
      </c>
      <c r="F4" s="79" t="inlineStr">
        <is>
          <t xml:space="preserve">—</t>
        </is>
      </c>
      <c r="G4" s="81" t="inlineStr">
        <is>
          <t xml:space="preserve">Partial</t>
        </is>
      </c>
      <c r="H4" s="82" t="inlineStr">
        <is>
          <t xml:space="preserve">A practice, not a control. The Playbook governs the review agent itself (D1.4 least-privilege, D3.2 sandbox), not the act of scanning.</t>
        </is>
      </c>
    </row>
    <row r="5">
      <c r="A5" s="77" t="inlineStr">
        <is>
          <t xml:space="preserve">PA 2 · Require AI Agent Adoption</t>
        </is>
      </c>
      <c r="B5" s="78" t="inlineStr">
        <is>
          <t xml:space="preserve">Formalise and mandate agent use across security functions with mandatory controls and oversight; optional programs don't overcome cultural barriers.</t>
        </is>
      </c>
      <c r="C5" s="78" t="inlineStr">
        <is>
          <t xml:space="preserve">GV.OC, GV.RM, DE.CM, RS.MA</t>
        </is>
      </c>
      <c r="D5" s="79" t="inlineStr">
        <is>
          <t xml:space="preserve">M1.1, M1.2, M1.5, M2.1, M2.2</t>
        </is>
      </c>
      <c r="E5" s="79" t="inlineStr">
        <is>
          <t xml:space="preserve">D2.1</t>
        </is>
      </c>
      <c r="F5" s="79" t="inlineStr">
        <is>
          <t xml:space="preserve">—</t>
        </is>
      </c>
      <c r="G5" s="80" t="inlineStr">
        <is>
          <t xml:space="preserve">Core</t>
        </is>
      </c>
      <c r="H5" s="82" t="inlineStr">
        <is>
          <t xml:space="preserve">Adoption sits behind the governance + inventory gate — mandate is not ungoverned rollout.</t>
        </is>
      </c>
    </row>
    <row r="6">
      <c r="A6" s="77" t="inlineStr">
        <is>
          <t xml:space="preserve">PA 3 · Defend Your Agents</t>
        </is>
      </c>
      <c r="B6" s="78" t="inlineStr">
        <is>
          <t xml:space="preserve">Treat agents as privileged, insecure-by-default; audit the harness (prompts, tools, retrieval, escalation); bound scope, blast radius and human override; secure the agentic supply chain (MCP, extensions, skills).</t>
        </is>
      </c>
      <c r="C6" s="78" t="inlineStr">
        <is>
          <t xml:space="preserve">LLM06, ASI02, ASI03, AML.T0047, PR.AA, GV.SC</t>
        </is>
      </c>
      <c r="D6" s="79" t="inlineStr">
        <is>
          <t xml:space="preserve">M3.15, M3.14, M3.7</t>
        </is>
      </c>
      <c r="E6" s="79" t="inlineStr">
        <is>
          <t xml:space="preserve">D1.3, D1.4, D1.5, D1.6, D3.1, D3.2, D3.3, D3.7, D3.11</t>
        </is>
      </c>
      <c r="F6" s="79" t="inlineStr">
        <is>
          <t xml:space="preserve">S1.1, S1.2, S1.4, S2.3, S4.5</t>
        </is>
      </c>
      <c r="G6" s="80" t="inlineStr">
        <is>
          <t xml:space="preserve">Core</t>
        </is>
      </c>
      <c r="H6" s="82" t="inlineStr">
        <is>
          <t xml:space="preserve">The register's centre of gravity — spans most of D1/D3 and S1/S4. Agentic supply chain = D1.6 / M3.14 / S4.5.</t>
        </is>
      </c>
    </row>
    <row r="7">
      <c r="A7" s="77" t="inlineStr">
        <is>
          <t xml:space="preserve">PA 4 · Establish Innovation, Acceleration Governance</t>
        </is>
      </c>
      <c r="B7" s="78" t="inlineStr">
        <is>
          <t xml:space="preserve">Cross-functional Security / Legal / Engineering forum to evaluate threats and fast-track defensive-tech onboarding.</t>
        </is>
      </c>
      <c r="C7" s="78" t="inlineStr">
        <is>
          <t xml:space="preserve">GV.OC, GV.RM, GV.RR, GV.OV</t>
        </is>
      </c>
      <c r="D7" s="79" t="inlineStr">
        <is>
          <t xml:space="preserve">M1.3, M1.4</t>
        </is>
      </c>
      <c r="E7" s="79" t="inlineStr">
        <is>
          <t xml:space="preserve">D2.2</t>
        </is>
      </c>
      <c r="F7" s="79" t="inlineStr">
        <is>
          <t xml:space="preserve">—</t>
        </is>
      </c>
      <c r="G7" s="80" t="inlineStr">
        <is>
          <t xml:space="preserve">Core</t>
        </is>
      </c>
      <c r="H7" s="82" t="inlineStr">
        <is>
          <t xml:space="preserve">2LoD tension — acceleration (D2.2 adaptive governance) must stay bounded by M1.4 risk appetite; speed does not dissolve the approval gate.</t>
        </is>
      </c>
    </row>
    <row r="8">
      <c r="A8" s="77" t="inlineStr">
        <is>
          <t xml:space="preserve">PA 5 · Prepare for Continuous Patching</t>
        </is>
      </c>
      <c r="B8" s="78" t="inlineStr">
        <is>
          <t xml:space="preserve">Build triage and deployment capacity for a potential flood of patches as Glasswing-driven disclosures land.</t>
        </is>
      </c>
      <c r="C8" s="78" t="inlineStr">
        <is>
          <t xml:space="preserve">AML.T0040, AML.T0043, PR.PS, PR.IR</t>
        </is>
      </c>
      <c r="D8" s="79" t="inlineStr">
        <is>
          <t xml:space="preserve">M3.12, M4.2</t>
        </is>
      </c>
      <c r="E8" s="79" t="inlineStr">
        <is>
          <t xml:space="preserve">D3.10</t>
        </is>
      </c>
      <c r="F8" s="79" t="inlineStr">
        <is>
          <t xml:space="preserve">—</t>
        </is>
      </c>
      <c r="G8" s="81" t="inlineStr">
        <is>
          <t xml:space="preserve">Partial</t>
        </is>
      </c>
      <c r="H8" s="82" t="inlineStr">
        <is>
          <t xml:space="preserve">AI-slice only (model / agent updates). Estate-wide patch and vulnerability management lives in MAS TRM, not this Playbook.</t>
        </is>
      </c>
    </row>
    <row r="9">
      <c r="A9" s="77" t="inlineStr">
        <is>
          <t xml:space="preserve">PA 6 · Update Risk Models &amp; Reporting</t>
        </is>
      </c>
      <c r="B9" s="78" t="inlineStr">
        <is>
          <t xml:space="preserve">Update metrics, reporting and business-risk calculations to reflect AI-accelerated exploit timelines; communicate the shift to stakeholders.</t>
        </is>
      </c>
      <c r="C9" s="78" t="inlineStr">
        <is>
          <t xml:space="preserve">GV.OC, GV.RM, RS.CO</t>
        </is>
      </c>
      <c r="D9" s="79" t="inlineStr">
        <is>
          <t xml:space="preserve">M2.3, M2.4, M3.10, M1.1</t>
        </is>
      </c>
      <c r="E9" s="79" t="inlineStr">
        <is>
          <t xml:space="preserve">D2.5</t>
        </is>
      </c>
      <c r="F9" s="79" t="inlineStr">
        <is>
          <t xml:space="preserve">S3.4</t>
        </is>
      </c>
      <c r="G9" s="80" t="inlineStr">
        <is>
          <t xml:space="preserve">Core</t>
        </is>
      </c>
      <c r="H9" s="82" t="inlineStr">
        <is>
          <t xml:space="preserve">Your 2LoD seat; the Maturity Dashboard is the instrument. Ratings should track live residual exposure, not remediation paperwork.</t>
        </is>
      </c>
    </row>
    <row r="10">
      <c r="A10" s="77" t="inlineStr">
        <is>
          <t xml:space="preserve">PA 7 · Inventory &amp; Reduce Attack Surface</t>
        </is>
      </c>
      <c r="B10" s="78" t="inlineStr">
        <is>
          <t xml:space="preserve">Build / maintain a continuous inventory, generate real SBOMs, decommission unneeded functionality, isolate or air-gap at-risk systems.</t>
        </is>
      </c>
      <c r="C10" s="78" t="inlineStr">
        <is>
          <t xml:space="preserve">ASI04, AML.T0000, ID.AM, GV.SC</t>
        </is>
      </c>
      <c r="D10" s="79" t="inlineStr">
        <is>
          <t xml:space="preserve">M2.1, M2.2, M3.13</t>
        </is>
      </c>
      <c r="E10" s="79" t="inlineStr">
        <is>
          <t xml:space="preserve">D1.1, D1.6</t>
        </is>
      </c>
      <c r="F10" s="79" t="inlineStr">
        <is>
          <t xml:space="preserve">—</t>
        </is>
      </c>
      <c r="G10" s="80" t="inlineStr">
        <is>
          <t xml:space="preserve">Core</t>
        </is>
      </c>
      <c r="H10" s="82" t="inlineStr">
        <is>
          <t xml:space="preserve">Inventory (M2.2) + safe decommission (M3.13); software / dependency SBOM via M3.14 / D1.6.</t>
        </is>
      </c>
    </row>
    <row r="11">
      <c r="A11" s="77" t="inlineStr">
        <is>
          <t xml:space="preserve">PA 8 · Harden Your Environment</t>
        </is>
      </c>
      <c r="B11" s="78" t="inlineStr">
        <is>
          <t xml:space="preserve">Egress filtering, deep segmentation, zero trust, dependency lockdown, phishing-resistant MFA, software minimisation.</t>
        </is>
      </c>
      <c r="C11" s="78" t="inlineStr">
        <is>
          <t xml:space="preserve">PR.IR, PR.PS</t>
        </is>
      </c>
      <c r="D11" s="79" t="inlineStr">
        <is>
          <t xml:space="preserve">M3.7</t>
        </is>
      </c>
      <c r="E11" s="79" t="inlineStr">
        <is>
          <t xml:space="preserve">D3.1, D3.2, D3.3, D3.7</t>
        </is>
      </c>
      <c r="F11" s="79" t="inlineStr">
        <is>
          <t xml:space="preserve">S4.2</t>
        </is>
      </c>
      <c r="G11" s="81" t="inlineStr">
        <is>
          <t xml:space="preserve">Partial</t>
        </is>
      </c>
      <c r="H11" s="82" t="inlineStr">
        <is>
          <t xml:space="preserve">AI-slice only. Classic network / MFA / segmentation hardening sits in MAS TRM. S4.2 gateway interception = the agent-action enforcement point.</t>
        </is>
      </c>
    </row>
    <row r="12">
      <c r="A12" s="77" t="inlineStr">
        <is>
          <t xml:space="preserve">PA 9 · Build a Deception Capability</t>
        </is>
      </c>
      <c r="B12" s="78" t="inlineStr">
        <is>
          <t xml:space="preserve">Deploy canaries and honey tokens, layer behavioural monitoring, pre-authorise containment, build machine-speed response playbooks.</t>
        </is>
      </c>
      <c r="C12" s="78" t="inlineStr">
        <is>
          <t xml:space="preserve">ASI08, DE.CM, DE.AE, RS.MA</t>
        </is>
      </c>
      <c r="D12" s="79" t="inlineStr">
        <is>
          <t xml:space="preserve">—</t>
        </is>
      </c>
      <c r="E12" s="79" t="inlineStr">
        <is>
          <t xml:space="preserve">D3.11, D3.12</t>
        </is>
      </c>
      <c r="F12" s="79" t="inlineStr">
        <is>
          <t xml:space="preserve">S2.5</t>
        </is>
      </c>
      <c r="G12" s="81" t="inlineStr">
        <is>
          <t xml:space="preserve">Partial</t>
        </is>
      </c>
      <c r="H12" s="82" t="inlineStr">
        <is>
          <t xml:space="preserve">Only the anomaly-detection / monitoring slice maps (D3.12). Deception tooling itself is out of Playbook scope.</t>
        </is>
      </c>
    </row>
    <row r="13">
      <c r="A13" s="77" t="inlineStr">
        <is>
          <t xml:space="preserve">PA 10 · Build an Automated Response Capability</t>
        </is>
      </c>
      <c r="B13" s="78" t="inlineStr">
        <is>
          <t xml:space="preserve">Make detection engineering and IR systemic and, where possible, autonomous — pre-authorised containment and machine-speed playbooks.</t>
        </is>
      </c>
      <c r="C13" s="78" t="inlineStr">
        <is>
          <t xml:space="preserve">ASI08, AML.T0047, DE.CM, DE.AE, RS.MA</t>
        </is>
      </c>
      <c r="D13" s="79" t="inlineStr">
        <is>
          <t xml:space="preserve">M3.11</t>
        </is>
      </c>
      <c r="E13" s="79" t="inlineStr">
        <is>
          <t xml:space="preserve">D3.16, D3.11, D2.6</t>
        </is>
      </c>
      <c r="F13" s="79" t="inlineStr">
        <is>
          <t xml:space="preserve">S2.1, S2.3, S2.4</t>
        </is>
      </c>
      <c r="G13" s="80" t="inlineStr">
        <is>
          <t xml:space="preserve">Core</t>
        </is>
      </c>
      <c r="H13" s="82" t="inlineStr">
        <is>
          <t xml:space="preserve">Automated containment (S2.1 / S2.4) is only defensible with human-in-the-loop escalation (S2.3) and automation-bias countermeasures (D2.6) live — otherwise it is an uncontrolled action.</t>
        </is>
      </c>
    </row>
    <row r="14">
      <c r="A14" s="77" t="inlineStr">
        <is>
          <t xml:space="preserve">PA 11 · Stand Up VulnOps</t>
        </is>
      </c>
      <c r="B14" s="78" t="inlineStr">
        <is>
          <t xml:space="preserve">Build a permanent Vulnerability Operations function — staffed and automated like DevOps — owning continuous zero-day discovery and automated remediation across the estate.</t>
        </is>
      </c>
      <c r="C14" s="78" t="inlineStr">
        <is>
          <t xml:space="preserve">ASI10, ASI06, AML.T0018, ID.RA, ID.AM, DE.CM</t>
        </is>
      </c>
      <c r="D14" s="79" t="inlineStr">
        <is>
          <t xml:space="preserve">M3.6, M3.7, M4.1, M4.2</t>
        </is>
      </c>
      <c r="E14" s="79" t="inlineStr">
        <is>
          <t xml:space="preserve">D3.8, D3.15</t>
        </is>
      </c>
      <c r="F14" s="79" t="inlineStr">
        <is>
          <t xml:space="preserve">—</t>
        </is>
      </c>
      <c r="G14" s="81" t="inlineStr">
        <is>
          <t xml:space="preserve">Partial</t>
        </is>
      </c>
      <c r="H14" s="82" t="inlineStr">
        <is>
          <t xml:space="preserve">AI-slice only (agent testing D3.8, periodic audit D3.15, capacity M4.1 / M4.2). VulnOps as an enterprise function lives in the cyber control set.</t>
        </is>
      </c>
    </row>
    <row r="16">
      <c r="A16" s="83" t="inlineStr">
        <is>
          <t xml:space="preserve">Fit — Core = the Playbook is the natural home for this action; Partial = only the AI / agentic slice maps here, the estate-wide capability lives in MAS TRM or the cyber control set.</t>
        </is>
      </c>
    </row>
    <row r="17">
      <c r="A17" s="83" t="inlineStr">
        <is>
          <t xml:space="preserve">CSA source refs — framework anchors from the CSA risk-register row(s) mapping to each action: OWASP LLM Top 10 2025 (LLM..), OWASP Agentic Top 10 2026 (ASI..), MITRE ATLAS (AML.T..), NIST CSF 2.0 (GV / ID / PR / DE / RS).</t>
        </is>
      </c>
    </row>
    <row r="18">
      <c r="A18" s="83" t="inlineStr">
        <is>
          <t xml:space="preserve">Playbook control IDs — verified against this workbook (MAS M/F, MGF Agentic D, SAFR S). M-series traces to AIRG Consultation Paper P017-2025 (consultation, not issued Guidelines); D = IMDA MGF for Agentic AI (issued); S = SAFR white paper (MAS / BuildFin.ai, 3 Jul 2026). ISO 42001 / NIST AI RMF anchors ride along inside each D-row and S-row.</t>
        </is>
      </c>
    </row>
    <row r="19">
      <c r="A19" s="83" t="inlineStr">
        <is>
          <t xml:space="preserve">Source — CSA / SANS / [un]prompted / OWASP GenAI, "The AI Vulnerability Storm: Building a Mythos-ready Security Program", v0.95 DRAFT, 18 Apr 2026 (CC BY-NC 4.0). Priority-action table is draft-stage and assumes an aggressive timetable — treat as candidate actions.</t>
        </is>
      </c>
    </row>
  </sheetData>
  <mergeCells count="5">
    <mergeCell ref="A1:H1"/>
    <mergeCell ref="A16:H16"/>
    <mergeCell ref="A17:H17"/>
    <mergeCell ref="A18:H18"/>
    <mergeCell ref="A19:H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8</cp:revision>
  <dcterms:created xsi:type="dcterms:W3CDTF">2026-06-17T07:05:16Z</dcterms:created>
  <dcterms:modified xsi:type="dcterms:W3CDTF">2026-07-04T15:59:02Z</dcterms:modified>
</cp:coreProperties>
</file>